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bf17979d0645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5f51d080ff9493c"/>
    <x:sheet xmlns:r="http://schemas.openxmlformats.org/officeDocument/2006/relationships" name="Base_Lancamentos" sheetId="2" r:id="Rdec770c7ac6c4c3b"/>
    <x:sheet xmlns:r="http://schemas.openxmlformats.org/officeDocument/2006/relationships" name="Config" sheetId="3" r:id="Rb2fd2c5e62a64d50"/>
    <x:sheet xmlns:r="http://schemas.openxmlformats.org/officeDocument/2006/relationships" name="Guia" sheetId="4" r:id="Reed219faaa2747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dd/mm/yyyy"/>
    <x:numFmt numFmtId="202" formatCode="0"/>
  </x:numFmts>
  <x:fonts count="6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i/>
      <x:sz val="11"/>
      <x:color rgb="6B7280"/>
      <x:name val="Carlito"/>
    </x:font>
    <x:font>
      <x:b/>
      <x:sz val="18"/>
      <x:color rgb="FFFFFF"/>
      <x:name val="Carlito"/>
    </x:font>
    <x:font>
      <x:b/>
      <x:sz val="11"/>
      <x:color rgb="11182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A62FF"/>
      </x:patternFill>
    </x:fill>
    <x:fill>
      <x:patternFill patternType="solid">
        <x:fgColor rgb="111827"/>
      </x:patternFill>
    </x:fill>
    <x:fill>
      <x:patternFill patternType="solid">
        <x:fgColor rgb="F3F7FB"/>
      </x:patternFill>
    </x:fill>
    <x:fill>
      <x:patternFill patternType="solid">
        <x:fgColor rgb="EAF7FF"/>
      </x:patternFill>
    </x:fill>
    <x:fill>
      <x:patternFill patternType="solid">
        <x:fgColor rgb="F9FAFB"/>
      </x:patternFill>
    </x:fill>
  </x:fills>
  <x:borders count="2">
    <x:border/>
    <x:border/>
  </x:borders>
  <x:cellStyleXfs count="1">
    <x:xf numFmtId="0" fontId="0" fillId="0" borderId="0"/>
  </x:cellStyleXfs>
  <x:cellXfs count="6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200" fontId="5" fillId="5" borderId="0" xfId="0" applyNumberFormat="1" applyFont="1" applyFill="1" applyBorder="1" applyAlignment="1">
      <x:alignment horizontal="center" vertical="center"/>
    </x:xf>
    <x:xf numFmtId="200" fontId="5" fillId="5" borderId="1" xfId="0" applyNumberFormat="1" applyFont="1" applyFill="1" applyBorder="1" applyAlignment="1">
      <x:alignment horizontal="center" vertical="center"/>
    </x:xf>
    <x:xf numFmtId="202" fontId="5" fillId="5" borderId="0" xfId="0" applyNumberFormat="1" applyFont="1" applyFill="1" applyBorder="1" applyAlignment="1">
      <x:alignment horizontal="center" vertical="center"/>
    </x:xf>
    <x:xf numFmtId="202" fontId="5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7F1D1D"/>
      </x:font>
      <x:fill>
        <x:patternFill patternType="solid">
          <x:bgColor rgb="FCA5A5"/>
        </x:patternFill>
      </x:fill>
    </x:dxf>
    <x:dxf>
      <x:font>
        <x:b/>
        <x:color rgb="78350F"/>
      </x:font>
      <x:fill>
        <x:patternFill patternType="solid">
          <x:bgColor rgb="FDE68A"/>
        </x:patternFill>
      </x:fill>
    </x:dxf>
    <x:dxf>
      <x:font>
        <x:b/>
        <x:color rgb="065F46"/>
      </x:font>
      <x:fill>
        <x:patternFill patternType="solid">
          <x:bgColor rgb="D1FAE5"/>
        </x:patternFill>
      </x:fill>
    </x:dxf>
    <x:dxf>
      <x:font>
        <x:b/>
        <x:color rgb="7F1D1D"/>
      </x:font>
      <x:fill>
        <x:patternFill patternType="solid">
          <x:bgColor rgb="FCA5A5"/>
        </x:patternFill>
      </x:fill>
    </x:dxf>
    <x:dxf>
      <x:font>
        <x:b/>
        <x:color rgb="78350F"/>
      </x:font>
      <x:fill>
        <x:patternFill patternType="solid">
          <x:bgColor rgb="FDE68A"/>
        </x:patternFill>
      </x:fill>
    </x:dxf>
    <x:dxf>
      <x:font>
        <x:b/>
        <x:color rgb="065F46"/>
      </x:font>
      <x:fill>
        <x:patternFill patternType="solid">
          <x:bgColor rgb="D1FA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ea23cba9e74988" /><Relationship Type="http://schemas.openxmlformats.org/officeDocument/2006/relationships/theme" Target="/xl/theme/theme1.xml" Id="R224be1a0c285432e" /><Relationship Type="http://schemas.openxmlformats.org/officeDocument/2006/relationships/sharedStrings" Target="/xl/sharedStrings.xml" Id="Rf58fa42ff1d44177" /><Relationship Type="http://schemas.openxmlformats.org/officeDocument/2006/relationships/worksheet" Target="/xl/worksheets/sheet1.xml" Id="R25f51d080ff9493c" /><Relationship Type="http://schemas.openxmlformats.org/officeDocument/2006/relationships/worksheet" Target="/xl/worksheets/sheet2.xml" Id="Rdec770c7ac6c4c3b" /><Relationship Type="http://schemas.openxmlformats.org/officeDocument/2006/relationships/worksheet" Target="/xl/worksheets/sheet3.xml" Id="Rb2fd2c5e62a64d50" /><Relationship Type="http://schemas.openxmlformats.org/officeDocument/2006/relationships/worksheet" Target="/xl/worksheets/sheet4.xml" Id="Reed219faaa27479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6c2f3cdadfc44f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Clientes por estado de saldo</a:t>
            </a:r>
          </a:p>
        </c:rich>
      </c:tx>
      <c:overlay val="0"/>
    </c:title>
    <c:autoTitleDeleted val="0"/>
    <c:plotArea>
      <c:layout/>
      <c:doughnutChart>
        <c:ser>
          <c:idx val="0"/>
          <c:order val="0"/>
          <c:tx>
            <c:v>N.º clientes</c:v>
          </c:tx>
          <c:cat>
            <c:strRef>
              <c:f>'Dashboard'!$J$4:$J$7</c:f>
              <c:strCache>
                <c:ptCount val="0"/>
              </c:strCache>
            </c:strRef>
          </c:cat>
          <c:val>
            <c:numRef>
              <c:f>'Dashboard'!$K$4:$K$7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doughnutChart>
    </c:plotArea>
    <c:legend>
      <c:legendPos val="r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8</xdr:row>
      <xdr:rowOff>0</xdr:rowOff>
    </xdr:from>
    <xdr:to>
      <xdr:col>15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6c2f3cdadfc44f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TblResumoClientes" displayName="TblResumoClientes" ref="A9:H209" headerRowCount="1">
  <x:tableColumns count="8">
    <x:tableColumn id="1" name="Cliente"/>
    <x:tableColumn id="2" name="Horas compradas"/>
    <x:tableColumn id="3" name="Horas usadas"/>
    <x:tableColumn id="4" name="Saldo"/>
    <x:tableColumn id="5" name="Última intervenção"/>
    <x:tableColumn id="6" name="N.º intervenções"/>
    <x:tableColumn id="7" name="Estado"/>
    <x:tableColumn id="8" name="Próxima ação"/>
  </x:tableColumns>
  <x:tableStyleInfo name="TableStyleMedium2" showRowStripes="1"/>
</x:table>
</file>

<file path=xl/tables/table2.xml><?xml version="1.0" encoding="utf-8"?>
<x:table xmlns:x="http://schemas.openxmlformats.org/spreadsheetml/2006/main" id="1" name="TblLancamentos" displayName="TblLancamentos" ref="A4:M500" headerRowCount="1">
  <x:tableColumns count="13">
    <x:tableColumn id="1" name="ID"/>
    <x:tableColumn id="2" name="Cliente"/>
    <x:tableColumn id="3" name="Data"/>
    <x:tableColumn id="4" name="Tipo"/>
    <x:tableColumn id="5" name="Solicitada por"/>
    <x:tableColumn id="6" name="Técnico"/>
    <x:tableColumn id="7" name="Descrição da intervenção"/>
    <x:tableColumn id="8" name="Horas Pack"/>
    <x:tableColumn id="9" name="Horas Usadas"/>
    <x:tableColumn id="10" name="Saldo Automático"/>
    <x:tableColumn id="11" name="Estado"/>
    <x:tableColumn id="12" name="Saldo Original"/>
    <x:tableColumn id="13" name="Origem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fbaeae3c18e432b" /><Relationship Type="http://schemas.openxmlformats.org/officeDocument/2006/relationships/table" Target="/xl/tables/table1.xml" Id="Rea65e82520064e7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169a1cd66174bc0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5" hidden="0" customWidth="1"/>
    <x:col min="3" max="3" width="15" hidden="0" customWidth="1"/>
    <x:col min="4" max="4" width="15" hidden="0" customWidth="1"/>
    <x:col min="5" max="5" width="16" hidden="0" customWidth="1"/>
    <x:col min="6" max="6" width="15" hidden="0" customWidth="1"/>
    <x:col min="7" max="7" width="16" hidden="0" customWidth="1"/>
    <x:col min="8" max="8" width="30" hidden="0" customWidth="1"/>
    <x:col min="10" max="10" width="18" hidden="0" customWidth="1"/>
    <x:col min="11" max="11" width="18" hidden="0" customWidth="1"/>
  </x:cols>
  <x:sheetData>
    <x:row r="1">
      <x:c r="A1" s="38" t="str">
        <x:v>CONTROLO AUTOMÁTICO DE PACKS DE HORAS</x:v>
      </x:c>
      <x:c r="B1" t="str"/>
      <x:c r="C1" t="str"/>
      <x:c r="D1" t="str"/>
      <x:c r="E1" t="str"/>
      <x:c r="F1" t="str"/>
      <x:c r="G1" t="str"/>
      <x:c r="H1" t="str"/>
    </x:row>
    <x:row r="2">
      <x:c r="A2" s="26" t="str">
        <x:v>Resumo calculado com base na folha Base_Lancamentos. Para novos registos, introduza os dados na base única.</x:v>
      </x:c>
      <x:c r="B2" t="str"/>
      <x:c r="C2" t="str"/>
      <x:c r="D2" t="str"/>
      <x:c r="E2" t="str"/>
      <x:c r="F2" t="str"/>
      <x:c r="G2" t="str"/>
      <x:c r="H2" t="str"/>
    </x:row>
    <x:row r="3">
      <x:c r="J3" s="6" t="str">
        <x:v>Estado</x:v>
      </x:c>
      <x:c r="K3" s="6" t="str">
        <x:v>N.º clientes</x:v>
      </x:c>
    </x:row>
    <x:row r="4">
      <x:c r="A4" s="45" t="str">
        <x:v>Total clientes</x:v>
      </x:c>
      <x:c r="B4" s="50" t="n">
        <x:f>SUMPRODUCT(--(A10:A209&lt;&gt;""))</x:f>
        <x:v>40</x:v>
      </x:c>
      <x:c r="C4" s="45" t="str">
        <x:v>Horas disponíveis</x:v>
      </x:c>
      <x:c r="D4" s="50" t="n">
        <x:f>SUM(D10:D209)</x:f>
        <x:v>125.70000000000002</x:v>
      </x:c>
      <x:c r="E4" s="45" t="str">
        <x:v>Alertas críticos</x:v>
      </x:c>
      <x:c r="F4" s="52" t="n">
        <x:f>COUNTIF(G10:G209,"SALDO CRÍTICO")+COUNTIF(G10:G209,"ESGOTADO")</x:f>
        <x:v>14</x:v>
      </x:c>
      <x:c r="J4" s="55" t="str">
        <x:v>OK</x:v>
      </x:c>
      <x:c r="K4" s="55" t="n">
        <x:f>COUNTIF($G$10:$G$209,J4)</x:f>
        <x:v>24</x:v>
      </x:c>
    </x:row>
    <x:row r="5">
      <x:c r="A5" s="45" t="str">
        <x:v>Horas compradas</x:v>
      </x:c>
      <x:c r="B5" s="50" t="n">
        <x:f>SUM(B10:B209)</x:f>
        <x:v>428</x:v>
      </x:c>
      <x:c r="C5" s="45" t="str">
        <x:v>Horas utilizadas</x:v>
      </x:c>
      <x:c r="D5" s="50" t="n">
        <x:f>SUM(C10:C209)</x:f>
        <x:v>302.3</x:v>
      </x:c>
      <x:c r="E5" s="45" t="str">
        <x:v>Intervenções</x:v>
      </x:c>
      <x:c r="F5" s="52" t="n">
        <x:f>SUM(F10:F209)</x:f>
        <x:v>253</x:v>
      </x:c>
      <x:c r="J5" s="55" t="str">
        <x:v>SALDO BAIXO</x:v>
      </x:c>
      <x:c r="K5" s="55" t="n">
        <x:f>COUNTIF($G$10:$G$209,J5)</x:f>
        <x:v>2</x:v>
      </x:c>
    </x:row>
    <x:row r="6">
      <x:c r="J6" s="55" t="str">
        <x:v>SALDO CRÍTICO</x:v>
      </x:c>
      <x:c r="K6" s="55" t="n">
        <x:f>COUNTIF($G$10:$G$209,J6)</x:f>
        <x:v>7</x:v>
      </x:c>
    </x:row>
    <x:row r="7">
      <x:c r="J7" s="55" t="str">
        <x:v>ESGOTADO</x:v>
      </x:c>
      <x:c r="K7" s="55" t="n">
        <x:f>COUNTIF($G$10:$G$209,J7)</x:f>
        <x:v>7</x:v>
      </x:c>
    </x:row>
    <x:row r="9">
      <x:c r="A9" s="6" t="str">
        <x:v>Cliente</x:v>
      </x:c>
      <x:c r="B9" s="6" t="str">
        <x:v>Horas compradas</x:v>
      </x:c>
      <x:c r="C9" s="6" t="str">
        <x:v>Horas usadas</x:v>
      </x:c>
      <x:c r="D9" s="6" t="str">
        <x:v>Saldo</x:v>
      </x:c>
      <x:c r="E9" s="6" t="str">
        <x:v>Última intervenção</x:v>
      </x:c>
      <x:c r="F9" s="6" t="str">
        <x:v>N.º intervenções</x:v>
      </x:c>
      <x:c r="G9" s="6" t="str">
        <x:v>Estado</x:v>
      </x:c>
      <x:c r="H9" s="6" t="str">
        <x:v>Próxima ação</x:v>
      </x:c>
    </x:row>
    <x:row r="10">
      <x:c r="A10" s="30" t="str">
        <x:f>IF(Config!A2="","",Config!A2)</x:f>
        <x:v>ATELIER SANTA CATARINA</x:v>
      </x:c>
      <x:c r="B10" s="34" t="n">
        <x:f>IF($A10="","",SUMIFS(Base_Lancamentos!$H:$H,Base_Lancamentos!$B:$B,$A10))</x:f>
        <x:v>10</x:v>
      </x:c>
      <x:c r="C10" s="34" t="n">
        <x:f>IF($A10="","",SUMIFS(Base_Lancamentos!$I:$I,Base_Lancamentos!$B:$B,$A10))</x:f>
        <x:v>5</x:v>
      </x:c>
      <x:c r="D10" s="34" t="n">
        <x:f>IF($A10="","",B10-C10)</x:f>
        <x:v>5</x:v>
      </x:c>
      <x:c r="E10" s="32" t="n">
        <x:f>IF($A10="","",IFERROR(MAXIFS(Base_Lancamentos!$C:$C,Base_Lancamentos!$B:$B,$A10,Base_Lancamentos!$D:$D,"Intervenção"),""))</x:f>
        <x:v>46113</x:v>
      </x:c>
      <x:c r="F10" s="60" t="n">
        <x:f>IF($A10="","",COUNTIFS(Base_Lancamentos!$B:$B,$A10,Base_Lancamentos!$D:$D,"Intervenção"))</x:f>
        <x:v>8</x:v>
      </x:c>
      <x:c r="G10" s="30" t="str">
        <x:f>IF($A10="","",IF($D10&lt;=0,"ESGOTADO",IF($D10&lt;=Config!$H$2,"SALDO CRÍTICO",IF($D10&lt;=Config!$H$3,"SALDO BAIXO","OK"))))</x:f>
        <x:v>OK</x:v>
      </x:c>
      <x:c r="H10" s="30" t="str">
        <x:f>IF($A10="","",IF($G10="ESGOTADO","Enviar proposta de novo pack",IF($G10="SALDO CRÍTICO","Contactar cliente para renovação",IF($G10="SALDO BAIXO","Acompanhar saldo","Sem ação imediata"))))</x:f>
        <x:v>Sem ação imediata</x:v>
      </x:c>
    </x:row>
    <x:row r="11">
      <x:c r="A11" s="30" t="str">
        <x:f>IF(Config!A3="","",Config!A3)</x:f>
        <x:v>ATLANTIPERCENTAGEM</x:v>
      </x:c>
      <x:c r="B11" s="34" t="n">
        <x:f>IF($A11="","",SUMIFS(Base_Lancamentos!$H:$H,Base_Lancamentos!$B:$B,$A11))</x:f>
        <x:v>5</x:v>
      </x:c>
      <x:c r="C11" s="34" t="n">
        <x:f>IF($A11="","",SUMIFS(Base_Lancamentos!$I:$I,Base_Lancamentos!$B:$B,$A11))</x:f>
        <x:v>4</x:v>
      </x:c>
      <x:c r="D11" s="34" t="n">
        <x:f>IF($A11="","",B11-C11)</x:f>
        <x:v>1</x:v>
      </x:c>
      <x:c r="E11" s="32" t="n">
        <x:f>IF($A11="","",IFERROR(MAXIFS(Base_Lancamentos!$C:$C,Base_Lancamentos!$B:$B,$A11,Base_Lancamentos!$D:$D,"Intervenção"),""))</x:f>
        <x:v>45621</x:v>
      </x:c>
      <x:c r="F11" s="60" t="n">
        <x:f>IF($A11="","",COUNTIFS(Base_Lancamentos!$B:$B,$A11,Base_Lancamentos!$D:$D,"Intervenção"))</x:f>
        <x:v>1</x:v>
      </x:c>
      <x:c r="G11" s="30" t="str">
        <x:f>IF($A11="","",IF($D11&lt;=0,"ESGOTADO",IF($D11&lt;=Config!$H$2,"SALDO CRÍTICO",IF($D11&lt;=Config!$H$3,"SALDO BAIXO","OK"))))</x:f>
        <x:v>SALDO CRÍTICO</x:v>
      </x:c>
      <x:c r="H11" s="30" t="str">
        <x:f>IF($A11="","",IF($G11="ESGOTADO","Enviar proposta de novo pack",IF($G11="SALDO CRÍTICO","Contactar cliente para renovação",IF($G11="SALDO BAIXO","Acompanhar saldo","Sem ação imediata"))))</x:f>
        <x:v>Contactar cliente para renovação</x:v>
      </x:c>
    </x:row>
    <x:row r="12">
      <x:c r="A12" s="30" t="str">
        <x:f>IF(Config!A4="","",Config!A4)</x:f>
        <x:v>AZOULAY</x:v>
      </x:c>
      <x:c r="B12" s="34" t="n">
        <x:f>IF($A12="","",SUMIFS(Base_Lancamentos!$H:$H,Base_Lancamentos!$B:$B,$A12))</x:f>
        <x:v>13</x:v>
      </x:c>
      <x:c r="C12" s="34" t="n">
        <x:f>IF($A12="","",SUMIFS(Base_Lancamentos!$I:$I,Base_Lancamentos!$B:$B,$A12))</x:f>
        <x:v>9.25</x:v>
      </x:c>
      <x:c r="D12" s="34" t="n">
        <x:f>IF($A12="","",B12-C12)</x:f>
        <x:v>3.75</x:v>
      </x:c>
      <x:c r="E12" s="32" t="n">
        <x:f>IF($A12="","",IFERROR(MAXIFS(Base_Lancamentos!$C:$C,Base_Lancamentos!$B:$B,$A12,Base_Lancamentos!$D:$D,"Intervenção"),""))</x:f>
        <x:v>45755</x:v>
      </x:c>
      <x:c r="F12" s="60" t="n">
        <x:f>IF($A12="","",COUNTIFS(Base_Lancamentos!$B:$B,$A12,Base_Lancamentos!$D:$D,"Intervenção"))</x:f>
        <x:v>9</x:v>
      </x:c>
      <x:c r="G12" s="30" t="str">
        <x:f>IF($A12="","",IF($D12&lt;=0,"ESGOTADO",IF($D12&lt;=Config!$H$2,"SALDO CRÍTICO",IF($D12&lt;=Config!$H$3,"SALDO BAIXO","OK"))))</x:f>
        <x:v>OK</x:v>
      </x:c>
      <x:c r="H12" s="30" t="str">
        <x:f>IF($A12="","",IF($G12="ESGOTADO","Enviar proposta de novo pack",IF($G12="SALDO CRÍTICO","Contactar cliente para renovação",IF($G12="SALDO BAIXO","Acompanhar saldo","Sem ação imediata"))))</x:f>
        <x:v>Sem ação imediata</x:v>
      </x:c>
    </x:row>
    <x:row r="13">
      <x:c r="A13" s="30" t="str">
        <x:f>IF(Config!A5="","",Config!A5)</x:f>
        <x:v>CAIXINORMA</x:v>
      </x:c>
      <x:c r="B13" s="34" t="n">
        <x:f>IF($A13="","",SUMIFS(Base_Lancamentos!$H:$H,Base_Lancamentos!$B:$B,$A13))</x:f>
        <x:v>10</x:v>
      </x:c>
      <x:c r="C13" s="34" t="n">
        <x:f>IF($A13="","",SUMIFS(Base_Lancamentos!$I:$I,Base_Lancamentos!$B:$B,$A13))</x:f>
        <x:v>3.5</x:v>
      </x:c>
      <x:c r="D13" s="34" t="n">
        <x:f>IF($A13="","",B13-C13)</x:f>
        <x:v>6.5</x:v>
      </x:c>
      <x:c r="E13" s="32" t="n">
        <x:f>IF($A13="","",IFERROR(MAXIFS(Base_Lancamentos!$C:$C,Base_Lancamentos!$B:$B,$A13,Base_Lancamentos!$D:$D,"Intervenção"),""))</x:f>
        <x:v>45569</x:v>
      </x:c>
      <x:c r="F13" s="60" t="n">
        <x:f>IF($A13="","",COUNTIFS(Base_Lancamentos!$B:$B,$A13,Base_Lancamentos!$D:$D,"Intervenção"))</x:f>
        <x:v>3</x:v>
      </x:c>
      <x:c r="G13" s="30" t="str">
        <x:f>IF($A13="","",IF($D13&lt;=0,"ESGOTADO",IF($D13&lt;=Config!$H$2,"SALDO CRÍTICO",IF($D13&lt;=Config!$H$3,"SALDO BAIXO","OK"))))</x:f>
        <x:v>OK</x:v>
      </x:c>
      <x:c r="H13" s="30" t="str">
        <x:f>IF($A13="","",IF($G13="ESGOTADO","Enviar proposta de novo pack",IF($G13="SALDO CRÍTICO","Contactar cliente para renovação",IF($G13="SALDO BAIXO","Acompanhar saldo","Sem ação imediata"))))</x:f>
        <x:v>Sem ação imediata</x:v>
      </x:c>
    </x:row>
    <x:row r="14">
      <x:c r="A14" s="30" t="str">
        <x:f>IF(Config!A6="","",Config!A6)</x:f>
        <x:v>CASCAIS ATRIUM</x:v>
      </x:c>
      <x:c r="B14" s="34" t="n">
        <x:f>IF($A14="","",SUMIFS(Base_Lancamentos!$H:$H,Base_Lancamentos!$B:$B,$A14))</x:f>
        <x:v>5</x:v>
      </x:c>
      <x:c r="C14" s="34" t="n">
        <x:f>IF($A14="","",SUMIFS(Base_Lancamentos!$I:$I,Base_Lancamentos!$B:$B,$A14))</x:f>
        <x:v>0.5</x:v>
      </x:c>
      <x:c r="D14" s="34" t="n">
        <x:f>IF($A14="","",B14-C14)</x:f>
        <x:v>4.5</x:v>
      </x:c>
      <x:c r="E14" s="32" t="n">
        <x:f>IF($A14="","",IFERROR(MAXIFS(Base_Lancamentos!$C:$C,Base_Lancamentos!$B:$B,$A14,Base_Lancamentos!$D:$D,"Intervenção"),""))</x:f>
        <x:v>46029</x:v>
      </x:c>
      <x:c r="F14" s="60" t="n">
        <x:f>IF($A14="","",COUNTIFS(Base_Lancamentos!$B:$B,$A14,Base_Lancamentos!$D:$D,"Intervenção"))</x:f>
        <x:v>1</x:v>
      </x:c>
      <x:c r="G14" s="30" t="str">
        <x:f>IF($A14="","",IF($D14&lt;=0,"ESGOTADO",IF($D14&lt;=Config!$H$2,"SALDO CRÍTICO",IF($D14&lt;=Config!$H$3,"SALDO BAIXO","OK"))))</x:f>
        <x:v>OK</x:v>
      </x:c>
      <x:c r="H14" s="30" t="str">
        <x:f>IF($A14="","",IF($G14="ESGOTADO","Enviar proposta de novo pack",IF($G14="SALDO CRÍTICO","Contactar cliente para renovação",IF($G14="SALDO BAIXO","Acompanhar saldo","Sem ação imediata"))))</x:f>
        <x:v>Sem ação imediata</x:v>
      </x:c>
    </x:row>
    <x:row r="15">
      <x:c r="A15" s="30" t="str">
        <x:f>IF(Config!A7="","",Config!A7)</x:f>
        <x:v>CLAMROC</x:v>
      </x:c>
      <x:c r="B15" s="34" t="n">
        <x:f>IF($A15="","",SUMIFS(Base_Lancamentos!$H:$H,Base_Lancamentos!$B:$B,$A15))</x:f>
        <x:v>20</x:v>
      </x:c>
      <x:c r="C15" s="34" t="n">
        <x:f>IF($A15="","",SUMIFS(Base_Lancamentos!$I:$I,Base_Lancamentos!$B:$B,$A15))</x:f>
        <x:v>13.5</x:v>
      </x:c>
      <x:c r="D15" s="34" t="n">
        <x:f>IF($A15="","",B15-C15)</x:f>
        <x:v>6.5</x:v>
      </x:c>
      <x:c r="E15" s="32" t="n">
        <x:f>IF($A15="","",IFERROR(MAXIFS(Base_Lancamentos!$C:$C,Base_Lancamentos!$B:$B,$A15,Base_Lancamentos!$D:$D,"Intervenção"),""))</x:f>
        <x:v>46114</x:v>
      </x:c>
      <x:c r="F15" s="60" t="n">
        <x:f>IF($A15="","",COUNTIFS(Base_Lancamentos!$B:$B,$A15,Base_Lancamentos!$D:$D,"Intervenção"))</x:f>
        <x:v>8</x:v>
      </x:c>
      <x:c r="G15" s="30" t="str">
        <x:f>IF($A15="","",IF($D15&lt;=0,"ESGOTADO",IF($D15&lt;=Config!$H$2,"SALDO CRÍTICO",IF($D15&lt;=Config!$H$3,"SALDO BAIXO","OK"))))</x:f>
        <x:v>OK</x:v>
      </x:c>
      <x:c r="H15" s="30" t="str">
        <x:f>IF($A15="","",IF($G15="ESGOTADO","Enviar proposta de novo pack",IF($G15="SALDO CRÍTICO","Contactar cliente para renovação",IF($G15="SALDO BAIXO","Acompanhar saldo","Sem ação imediata"))))</x:f>
        <x:v>Sem ação imediata</x:v>
      </x:c>
    </x:row>
    <x:row r="16">
      <x:c r="A16" s="30" t="str">
        <x:f>IF(Config!A8="","",Config!A8)</x:f>
        <x:v>Clinica Prestigio</x:v>
      </x:c>
      <x:c r="B16" s="34" t="n">
        <x:f>IF($A16="","",SUMIFS(Base_Lancamentos!$H:$H,Base_Lancamentos!$B:$B,$A16))</x:f>
        <x:v>5</x:v>
      </x:c>
      <x:c r="C16" s="34" t="n">
        <x:f>IF($A16="","",SUMIFS(Base_Lancamentos!$I:$I,Base_Lancamentos!$B:$B,$A16))</x:f>
        <x:v>4.5</x:v>
      </x:c>
      <x:c r="D16" s="34" t="n">
        <x:f>IF($A16="","",B16-C16)</x:f>
        <x:v>0.5</x:v>
      </x:c>
      <x:c r="E16" s="32" t="n">
        <x:f>IF($A16="","",IFERROR(MAXIFS(Base_Lancamentos!$C:$C,Base_Lancamentos!$B:$B,$A16,Base_Lancamentos!$D:$D,"Intervenção"),""))</x:f>
        <x:v>45387</x:v>
      </x:c>
      <x:c r="F16" s="60" t="n">
        <x:f>IF($A16="","",COUNTIFS(Base_Lancamentos!$B:$B,$A16,Base_Lancamentos!$D:$D,"Intervenção"))</x:f>
        <x:v>5</x:v>
      </x:c>
      <x:c r="G16" s="30" t="str">
        <x:f>IF($A16="","",IF($D16&lt;=0,"ESGOTADO",IF($D16&lt;=Config!$H$2,"SALDO CRÍTICO",IF($D16&lt;=Config!$H$3,"SALDO BAIXO","OK"))))</x:f>
        <x:v>SALDO CRÍTICO</x:v>
      </x:c>
      <x:c r="H16" s="30" t="str">
        <x:f>IF($A16="","",IF($G16="ESGOTADO","Enviar proposta de novo pack",IF($G16="SALDO CRÍTICO","Contactar cliente para renovação",IF($G16="SALDO BAIXO","Acompanhar saldo","Sem ação imediata"))))</x:f>
        <x:v>Contactar cliente para renovação</x:v>
      </x:c>
    </x:row>
    <x:row r="17">
      <x:c r="A17" s="30" t="str">
        <x:f>IF(Config!A9="","",Config!A9)</x:f>
        <x:v>CLÍNICA REBALANCE (NAIDE)</x:v>
      </x:c>
      <x:c r="B17" s="34" t="n">
        <x:f>IF($A17="","",SUMIFS(Base_Lancamentos!$H:$H,Base_Lancamentos!$B:$B,$A17))</x:f>
        <x:v>5</x:v>
      </x:c>
      <x:c r="C17" s="34" t="n">
        <x:f>IF($A17="","",SUMIFS(Base_Lancamentos!$I:$I,Base_Lancamentos!$B:$B,$A17))</x:f>
        <x:v>5</x:v>
      </x:c>
      <x:c r="D17" s="34" t="n">
        <x:f>IF($A17="","",B17-C17)</x:f>
        <x:v>0</x:v>
      </x:c>
      <x:c r="E17" s="32" t="n">
        <x:f>IF($A17="","",IFERROR(MAXIFS(Base_Lancamentos!$C:$C,Base_Lancamentos!$B:$B,$A17,Base_Lancamentos!$D:$D,"Intervenção"),""))</x:f>
        <x:v>45019</x:v>
      </x:c>
      <x:c r="F17" s="60" t="n">
        <x:f>IF($A17="","",COUNTIFS(Base_Lancamentos!$B:$B,$A17,Base_Lancamentos!$D:$D,"Intervenção"))</x:f>
        <x:v>1</x:v>
      </x:c>
      <x:c r="G17" s="30" t="str">
        <x:f>IF($A17="","",IF($D17&lt;=0,"ESGOTADO",IF($D17&lt;=Config!$H$2,"SALDO CRÍTICO",IF($D17&lt;=Config!$H$3,"SALDO BAIXO","OK"))))</x:f>
        <x:v>ESGOTADO</x:v>
      </x:c>
      <x:c r="H17" s="30" t="str">
        <x:f>IF($A17="","",IF($G17="ESGOTADO","Enviar proposta de novo pack",IF($G17="SALDO CRÍTICO","Contactar cliente para renovação",IF($G17="SALDO BAIXO","Acompanhar saldo","Sem ação imediata"))))</x:f>
        <x:v>Enviar proposta de novo pack</x:v>
      </x:c>
    </x:row>
    <x:row r="18">
      <x:c r="A18" s="30" t="str">
        <x:f>IF(Config!A10="","",Config!A10)</x:f>
        <x:v>CONTORNOS SUBLIMES (FMPILOTO)</x:v>
      </x:c>
      <x:c r="B18" s="34" t="n">
        <x:f>IF($A18="","",SUMIFS(Base_Lancamentos!$H:$H,Base_Lancamentos!$B:$B,$A18))</x:f>
        <x:v>15</x:v>
      </x:c>
      <x:c r="C18" s="34" t="n">
        <x:f>IF($A18="","",SUMIFS(Base_Lancamentos!$I:$I,Base_Lancamentos!$B:$B,$A18))</x:f>
        <x:v>12.75</x:v>
      </x:c>
      <x:c r="D18" s="34" t="n">
        <x:f>IF($A18="","",B18-C18)</x:f>
        <x:v>2.25</x:v>
      </x:c>
      <x:c r="E18" s="32" t="n">
        <x:f>IF($A18="","",IFERROR(MAXIFS(Base_Lancamentos!$C:$C,Base_Lancamentos!$B:$B,$A18,Base_Lancamentos!$D:$D,"Intervenção"),""))</x:f>
        <x:v>45418</x:v>
      </x:c>
      <x:c r="F18" s="60" t="n">
        <x:f>IF($A18="","",COUNTIFS(Base_Lancamentos!$B:$B,$A18,Base_Lancamentos!$D:$D,"Intervenção"))</x:f>
        <x:v>12</x:v>
      </x:c>
      <x:c r="G18" s="30" t="str">
        <x:f>IF($A18="","",IF($D18&lt;=0,"ESGOTADO",IF($D18&lt;=Config!$H$2,"SALDO CRÍTICO",IF($D18&lt;=Config!$H$3,"SALDO BAIXO","OK"))))</x:f>
        <x:v>OK</x:v>
      </x:c>
      <x:c r="H18" s="30" t="str">
        <x:f>IF($A18="","",IF($G18="ESGOTADO","Enviar proposta de novo pack",IF($G18="SALDO CRÍTICO","Contactar cliente para renovação",IF($G18="SALDO BAIXO","Acompanhar saldo","Sem ação imediata"))))</x:f>
        <x:v>Sem ação imediata</x:v>
      </x:c>
    </x:row>
    <x:row r="19">
      <x:c r="A19" s="30" t="str">
        <x:f>IF(Config!A11="","",Config!A11)</x:f>
        <x:v>CROA Clinica Dentaria</x:v>
      </x:c>
      <x:c r="B19" s="34" t="n">
        <x:f>IF($A19="","",SUMIFS(Base_Lancamentos!$H:$H,Base_Lancamentos!$B:$B,$A19))</x:f>
        <x:v>20</x:v>
      </x:c>
      <x:c r="C19" s="34" t="n">
        <x:f>IF($A19="","",SUMIFS(Base_Lancamentos!$I:$I,Base_Lancamentos!$B:$B,$A19))</x:f>
        <x:v>12</x:v>
      </x:c>
      <x:c r="D19" s="34" t="n">
        <x:f>IF($A19="","",B19-C19)</x:f>
        <x:v>8</x:v>
      </x:c>
      <x:c r="E19" s="32" t="n">
        <x:f>IF($A19="","",IFERROR(MAXIFS(Base_Lancamentos!$C:$C,Base_Lancamentos!$B:$B,$A19,Base_Lancamentos!$D:$D,"Intervenção"),""))</x:f>
        <x:v>0</x:v>
      </x:c>
      <x:c r="F19" s="60" t="n">
        <x:f>IF($A19="","",COUNTIFS(Base_Lancamentos!$B:$B,$A19,Base_Lancamentos!$D:$D,"Intervenção"))</x:f>
        <x:v>1</x:v>
      </x:c>
      <x:c r="G19" s="30" t="str">
        <x:f>IF($A19="","",IF($D19&lt;=0,"ESGOTADO",IF($D19&lt;=Config!$H$2,"SALDO CRÍTICO",IF($D19&lt;=Config!$H$3,"SALDO BAIXO","OK"))))</x:f>
        <x:v>OK</x:v>
      </x:c>
      <x:c r="H19" s="30" t="str">
        <x:f>IF($A19="","",IF($G19="ESGOTADO","Enviar proposta de novo pack",IF($G19="SALDO CRÍTICO","Contactar cliente para renovação",IF($G19="SALDO BAIXO","Acompanhar saldo","Sem ação imediata"))))</x:f>
        <x:v>Sem ação imediata</x:v>
      </x:c>
    </x:row>
    <x:row r="20">
      <x:c r="A20" s="30" t="str">
        <x:f>IF(Config!A12="","",Config!A12)</x:f>
        <x:v>DNI - Medicina e Saúde</x:v>
      </x:c>
      <x:c r="B20" s="34" t="n">
        <x:f>IF($A20="","",SUMIFS(Base_Lancamentos!$H:$H,Base_Lancamentos!$B:$B,$A20))</x:f>
        <x:v>10</x:v>
      </x:c>
      <x:c r="C20" s="34" t="n">
        <x:f>IF($A20="","",SUMIFS(Base_Lancamentos!$I:$I,Base_Lancamentos!$B:$B,$A20))</x:f>
        <x:v>3</x:v>
      </x:c>
      <x:c r="D20" s="34" t="n">
        <x:f>IF($A20="","",B20-C20)</x:f>
        <x:v>7</x:v>
      </x:c>
      <x:c r="E20" s="32" t="n">
        <x:f>IF($A20="","",IFERROR(MAXIFS(Base_Lancamentos!$C:$C,Base_Lancamentos!$B:$B,$A20,Base_Lancamentos!$D:$D,"Intervenção"),""))</x:f>
        <x:v>46135</x:v>
      </x:c>
      <x:c r="F20" s="60" t="n">
        <x:f>IF($A20="","",COUNTIFS(Base_Lancamentos!$B:$B,$A20,Base_Lancamentos!$D:$D,"Intervenção"))</x:f>
        <x:v>3</x:v>
      </x:c>
      <x:c r="G20" s="30" t="str">
        <x:f>IF($A20="","",IF($D20&lt;=0,"ESGOTADO",IF($D20&lt;=Config!$H$2,"SALDO CRÍTICO",IF($D20&lt;=Config!$H$3,"SALDO BAIXO","OK"))))</x:f>
        <x:v>OK</x:v>
      </x:c>
      <x:c r="H20" s="30" t="str">
        <x:f>IF($A20="","",IF($G20="ESGOTADO","Enviar proposta de novo pack",IF($G20="SALDO CRÍTICO","Contactar cliente para renovação",IF($G20="SALDO BAIXO","Acompanhar saldo","Sem ação imediata"))))</x:f>
        <x:v>Sem ação imediata</x:v>
      </x:c>
    </x:row>
    <x:row r="21">
      <x:c r="A21" s="30" t="str">
        <x:f>IF(Config!A13="","",Config!A13)</x:f>
        <x:v>EAGLE MAGNATA</x:v>
      </x:c>
      <x:c r="B21" s="34" t="n">
        <x:f>IF($A21="","",SUMIFS(Base_Lancamentos!$H:$H,Base_Lancamentos!$B:$B,$A21))</x:f>
        <x:v>25</x:v>
      </x:c>
      <x:c r="C21" s="34" t="n">
        <x:f>IF($A21="","",SUMIFS(Base_Lancamentos!$I:$I,Base_Lancamentos!$B:$B,$A21))</x:f>
        <x:v>25.6</x:v>
      </x:c>
      <x:c r="D21" s="34" t="n">
        <x:f>IF($A21="","",B21-C21)</x:f>
        <x:v>-0.6000000000000014</x:v>
      </x:c>
      <x:c r="E21" s="32" t="n">
        <x:f>IF($A21="","",IFERROR(MAXIFS(Base_Lancamentos!$C:$C,Base_Lancamentos!$B:$B,$A21,Base_Lancamentos!$D:$D,"Intervenção"),""))</x:f>
        <x:v>45532</x:v>
      </x:c>
      <x:c r="F21" s="60" t="n">
        <x:f>IF($A21="","",COUNTIFS(Base_Lancamentos!$B:$B,$A21,Base_Lancamentos!$D:$D,"Intervenção"))</x:f>
        <x:v>11</x:v>
      </x:c>
      <x:c r="G21" s="30" t="str">
        <x:f>IF($A21="","",IF($D21&lt;=0,"ESGOTADO",IF($D21&lt;=Config!$H$2,"SALDO CRÍTICO",IF($D21&lt;=Config!$H$3,"SALDO BAIXO","OK"))))</x:f>
        <x:v>ESGOTADO</x:v>
      </x:c>
      <x:c r="H21" s="30" t="str">
        <x:f>IF($A21="","",IF($G21="ESGOTADO","Enviar proposta de novo pack",IF($G21="SALDO CRÍTICO","Contactar cliente para renovação",IF($G21="SALDO BAIXO","Acompanhar saldo","Sem ação imediata"))))</x:f>
        <x:v>Enviar proposta de novo pack</x:v>
      </x:c>
    </x:row>
    <x:row r="22">
      <x:c r="A22" s="30" t="str">
        <x:f>IF(Config!A14="","",Config!A14)</x:f>
        <x:v>ESTORIL8023</x:v>
      </x:c>
      <x:c r="B22" s="34" t="n">
        <x:f>IF($A22="","",SUMIFS(Base_Lancamentos!$H:$H,Base_Lancamentos!$B:$B,$A22))</x:f>
        <x:v>20</x:v>
      </x:c>
      <x:c r="C22" s="34" t="n">
        <x:f>IF($A22="","",SUMIFS(Base_Lancamentos!$I:$I,Base_Lancamentos!$B:$B,$A22))</x:f>
        <x:v>15.75</x:v>
      </x:c>
      <x:c r="D22" s="34" t="n">
        <x:f>IF($A22="","",B22-C22)</x:f>
        <x:v>4.25</x:v>
      </x:c>
      <x:c r="E22" s="32" t="n">
        <x:f>IF($A22="","",IFERROR(MAXIFS(Base_Lancamentos!$C:$C,Base_Lancamentos!$B:$B,$A22,Base_Lancamentos!$D:$D,"Intervenção"),""))</x:f>
        <x:v>45957</x:v>
      </x:c>
      <x:c r="F22" s="60" t="n">
        <x:f>IF($A22="","",COUNTIFS(Base_Lancamentos!$B:$B,$A22,Base_Lancamentos!$D:$D,"Intervenção"))</x:f>
        <x:v>17</x:v>
      </x:c>
      <x:c r="G22" s="30" t="str">
        <x:f>IF($A22="","",IF($D22&lt;=0,"ESGOTADO",IF($D22&lt;=Config!$H$2,"SALDO CRÍTICO",IF($D22&lt;=Config!$H$3,"SALDO BAIXO","OK"))))</x:f>
        <x:v>OK</x:v>
      </x:c>
      <x:c r="H22" s="30" t="str">
        <x:f>IF($A22="","",IF($G22="ESGOTADO","Enviar proposta de novo pack",IF($G22="SALDO CRÍTICO","Contactar cliente para renovação",IF($G22="SALDO BAIXO","Acompanhar saldo","Sem ação imediata"))))</x:f>
        <x:v>Sem ação imediata</x:v>
      </x:c>
    </x:row>
    <x:row r="23">
      <x:c r="A23" s="30" t="str">
        <x:f>IF(Config!A15="","",Config!A15)</x:f>
        <x:v>FILIPA ROQUETTE - Sociedade Unipessoal Lda</x:v>
      </x:c>
      <x:c r="B23" s="34" t="n">
        <x:f>IF($A23="","",SUMIFS(Base_Lancamentos!$H:$H,Base_Lancamentos!$B:$B,$A23))</x:f>
        <x:v>5</x:v>
      </x:c>
      <x:c r="C23" s="34" t="n">
        <x:f>IF($A23="","",SUMIFS(Base_Lancamentos!$I:$I,Base_Lancamentos!$B:$B,$A23))</x:f>
        <x:v>4.25</x:v>
      </x:c>
      <x:c r="D23" s="34" t="n">
        <x:f>IF($A23="","",B23-C23)</x:f>
        <x:v>0.75</x:v>
      </x:c>
      <x:c r="E23" s="32" t="n">
        <x:f>IF($A23="","",IFERROR(MAXIFS(Base_Lancamentos!$C:$C,Base_Lancamentos!$B:$B,$A23,Base_Lancamentos!$D:$D,"Intervenção"),""))</x:f>
        <x:v>45971</x:v>
      </x:c>
      <x:c r="F23" s="60" t="n">
        <x:f>IF($A23="","",COUNTIFS(Base_Lancamentos!$B:$B,$A23,Base_Lancamentos!$D:$D,"Intervenção"))</x:f>
        <x:v>9</x:v>
      </x:c>
      <x:c r="G23" s="30" t="str">
        <x:f>IF($A23="","",IF($D23&lt;=0,"ESGOTADO",IF($D23&lt;=Config!$H$2,"SALDO CRÍTICO",IF($D23&lt;=Config!$H$3,"SALDO BAIXO","OK"))))</x:f>
        <x:v>SALDO CRÍTICO</x:v>
      </x:c>
      <x:c r="H23" s="30" t="str">
        <x:f>IF($A23="","",IF($G23="ESGOTADO","Enviar proposta de novo pack",IF($G23="SALDO CRÍTICO","Contactar cliente para renovação",IF($G23="SALDO BAIXO","Acompanhar saldo","Sem ação imediata"))))</x:f>
        <x:v>Contactar cliente para renovação</x:v>
      </x:c>
    </x:row>
    <x:row r="24">
      <x:c r="A24" s="30" t="str">
        <x:f>IF(Config!A16="","",Config!A16)</x:f>
        <x:v>GRUPO JOSÉ AVILLEZ</x:v>
      </x:c>
      <x:c r="B24" s="34" t="n">
        <x:f>IF($A24="","",SUMIFS(Base_Lancamentos!$H:$H,Base_Lancamentos!$B:$B,$A24))</x:f>
        <x:v>10</x:v>
      </x:c>
      <x:c r="C24" s="34" t="n">
        <x:f>IF($A24="","",SUMIFS(Base_Lancamentos!$I:$I,Base_Lancamentos!$B:$B,$A24))</x:f>
        <x:v>7</x:v>
      </x:c>
      <x:c r="D24" s="34" t="n">
        <x:f>IF($A24="","",B24-C24)</x:f>
        <x:v>3</x:v>
      </x:c>
      <x:c r="E24" s="32" t="n">
        <x:f>IF($A24="","",IFERROR(MAXIFS(Base_Lancamentos!$C:$C,Base_Lancamentos!$B:$B,$A24,Base_Lancamentos!$D:$D,"Intervenção"),""))</x:f>
        <x:v>46122</x:v>
      </x:c>
      <x:c r="F24" s="60" t="n">
        <x:f>IF($A24="","",COUNTIFS(Base_Lancamentos!$B:$B,$A24,Base_Lancamentos!$D:$D,"Intervenção"))</x:f>
        <x:v>4</x:v>
      </x:c>
      <x:c r="G24" s="30" t="str">
        <x:f>IF($A24="","",IF($D24&lt;=0,"ESGOTADO",IF($D24&lt;=Config!$H$2,"SALDO CRÍTICO",IF($D24&lt;=Config!$H$3,"SALDO BAIXO","OK"))))</x:f>
        <x:v>OK</x:v>
      </x:c>
      <x:c r="H24" s="30" t="str">
        <x:f>IF($A24="","",IF($G24="ESGOTADO","Enviar proposta de novo pack",IF($G24="SALDO CRÍTICO","Contactar cliente para renovação",IF($G24="SALDO BAIXO","Acompanhar saldo","Sem ação imediata"))))</x:f>
        <x:v>Sem ação imediata</x:v>
      </x:c>
    </x:row>
    <x:row r="25">
      <x:c r="A25" s="30" t="str">
        <x:f>IF(Config!A17="","",Config!A17)</x:f>
        <x:v>INÊS MOURA</x:v>
      </x:c>
      <x:c r="B25" s="34" t="n">
        <x:f>IF($A25="","",SUMIFS(Base_Lancamentos!$H:$H,Base_Lancamentos!$B:$B,$A25))</x:f>
        <x:v>15</x:v>
      </x:c>
      <x:c r="C25" s="34" t="n">
        <x:f>IF($A25="","",SUMIFS(Base_Lancamentos!$I:$I,Base_Lancamentos!$B:$B,$A25))</x:f>
        <x:v>10.25</x:v>
      </x:c>
      <x:c r="D25" s="34" t="n">
        <x:f>IF($A25="","",B25-C25)</x:f>
        <x:v>4.75</x:v>
      </x:c>
      <x:c r="E25" s="32" t="n">
        <x:f>IF($A25="","",IFERROR(MAXIFS(Base_Lancamentos!$C:$C,Base_Lancamentos!$B:$B,$A25,Base_Lancamentos!$D:$D,"Intervenção"),""))</x:f>
        <x:v>45959</x:v>
      </x:c>
      <x:c r="F25" s="60" t="n">
        <x:f>IF($A25="","",COUNTIFS(Base_Lancamentos!$B:$B,$A25,Base_Lancamentos!$D:$D,"Intervenção"))</x:f>
        <x:v>8</x:v>
      </x:c>
      <x:c r="G25" s="30" t="str">
        <x:f>IF($A25="","",IF($D25&lt;=0,"ESGOTADO",IF($D25&lt;=Config!$H$2,"SALDO CRÍTICO",IF($D25&lt;=Config!$H$3,"SALDO BAIXO","OK"))))</x:f>
        <x:v>OK</x:v>
      </x:c>
      <x:c r="H25" s="30" t="str">
        <x:f>IF($A25="","",IF($G25="ESGOTADO","Enviar proposta de novo pack",IF($G25="SALDO CRÍTICO","Contactar cliente para renovação",IF($G25="SALDO BAIXO","Acompanhar saldo","Sem ação imediata"))))</x:f>
        <x:v>Sem ação imediata</x:v>
      </x:c>
    </x:row>
    <x:row r="26">
      <x:c r="A26" s="30" t="str">
        <x:f>IF(Config!A18="","",Config!A18)</x:f>
        <x:v>J. TIÇÂO</x:v>
      </x:c>
      <x:c r="B26" s="34" t="n">
        <x:f>IF($A26="","",SUMIFS(Base_Lancamentos!$H:$H,Base_Lancamentos!$B:$B,$A26))</x:f>
        <x:v>10</x:v>
      </x:c>
      <x:c r="C26" s="34" t="n">
        <x:f>IF($A26="","",SUMIFS(Base_Lancamentos!$I:$I,Base_Lancamentos!$B:$B,$A26))</x:f>
        <x:v>6</x:v>
      </x:c>
      <x:c r="D26" s="34" t="n">
        <x:f>IF($A26="","",B26-C26)</x:f>
        <x:v>4</x:v>
      </x:c>
      <x:c r="E26" s="32" t="n">
        <x:f>IF($A26="","",IFERROR(MAXIFS(Base_Lancamentos!$C:$C,Base_Lancamentos!$B:$B,$A26,Base_Lancamentos!$D:$D,"Intervenção"),""))</x:f>
        <x:v>45944</x:v>
      </x:c>
      <x:c r="F26" s="60" t="n">
        <x:f>IF($A26="","",COUNTIFS(Base_Lancamentos!$B:$B,$A26,Base_Lancamentos!$D:$D,"Intervenção"))</x:f>
        <x:v>2</x:v>
      </x:c>
      <x:c r="G26" s="30" t="str">
        <x:f>IF($A26="","",IF($D26&lt;=0,"ESGOTADO",IF($D26&lt;=Config!$H$2,"SALDO CRÍTICO",IF($D26&lt;=Config!$H$3,"SALDO BAIXO","OK"))))</x:f>
        <x:v>OK</x:v>
      </x:c>
      <x:c r="H26" s="30" t="str">
        <x:f>IF($A26="","",IF($G26="ESGOTADO","Enviar proposta de novo pack",IF($G26="SALDO CRÍTICO","Contactar cliente para renovação",IF($G26="SALDO BAIXO","Acompanhar saldo","Sem ação imediata"))))</x:f>
        <x:v>Sem ação imediata</x:v>
      </x:c>
    </x:row>
    <x:row r="27">
      <x:c r="A27" s="30" t="str">
        <x:f>IF(Config!A19="","",Config!A19)</x:f>
        <x:v>J2L</x:v>
      </x:c>
      <x:c r="B27" s="34" t="n">
        <x:f>IF($A27="","",SUMIFS(Base_Lancamentos!$H:$H,Base_Lancamentos!$B:$B,$A27))</x:f>
        <x:v>5</x:v>
      </x:c>
      <x:c r="C27" s="34" t="n">
        <x:f>IF($A27="","",SUMIFS(Base_Lancamentos!$I:$I,Base_Lancamentos!$B:$B,$A27))</x:f>
        <x:v>0.5</x:v>
      </x:c>
      <x:c r="D27" s="34" t="n">
        <x:f>IF($A27="","",B27-C27)</x:f>
        <x:v>4.5</x:v>
      </x:c>
      <x:c r="E27" s="32" t="n">
        <x:f>IF($A27="","",IFERROR(MAXIFS(Base_Lancamentos!$C:$C,Base_Lancamentos!$B:$B,$A27,Base_Lancamentos!$D:$D,"Intervenção"),""))</x:f>
        <x:v>45713</x:v>
      </x:c>
      <x:c r="F27" s="60" t="n">
        <x:f>IF($A27="","",COUNTIFS(Base_Lancamentos!$B:$B,$A27,Base_Lancamentos!$D:$D,"Intervenção"))</x:f>
        <x:v>1</x:v>
      </x:c>
      <x:c r="G27" s="30" t="str">
        <x:f>IF($A27="","",IF($D27&lt;=0,"ESGOTADO",IF($D27&lt;=Config!$H$2,"SALDO CRÍTICO",IF($D27&lt;=Config!$H$3,"SALDO BAIXO","OK"))))</x:f>
        <x:v>OK</x:v>
      </x:c>
      <x:c r="H27" s="30" t="str">
        <x:f>IF($A27="","",IF($G27="ESGOTADO","Enviar proposta de novo pack",IF($G27="SALDO CRÍTICO","Contactar cliente para renovação",IF($G27="SALDO BAIXO","Acompanhar saldo","Sem ação imediata"))))</x:f>
        <x:v>Sem ação imediata</x:v>
      </x:c>
    </x:row>
    <x:row r="28">
      <x:c r="A28" s="30" t="str">
        <x:f>IF(Config!A20="","",Config!A20)</x:f>
        <x:v>JOÃO CUNHA ROSA</x:v>
      </x:c>
      <x:c r="B28" s="34" t="n">
        <x:f>IF($A28="","",SUMIFS(Base_Lancamentos!$H:$H,Base_Lancamentos!$B:$B,$A28))</x:f>
        <x:v>5</x:v>
      </x:c>
      <x:c r="C28" s="34" t="n">
        <x:f>IF($A28="","",SUMIFS(Base_Lancamentos!$I:$I,Base_Lancamentos!$B:$B,$A28))</x:f>
        <x:v>5</x:v>
      </x:c>
      <x:c r="D28" s="34" t="n">
        <x:f>IF($A28="","",B28-C28)</x:f>
        <x:v>0</x:v>
      </x:c>
      <x:c r="E28" s="32" t="n">
        <x:f>IF($A28="","",IFERROR(MAXIFS(Base_Lancamentos!$C:$C,Base_Lancamentos!$B:$B,$A28,Base_Lancamentos!$D:$D,"Intervenção"),""))</x:f>
        <x:v>45909</x:v>
      </x:c>
      <x:c r="F28" s="60" t="n">
        <x:f>IF($A28="","",COUNTIFS(Base_Lancamentos!$B:$B,$A28,Base_Lancamentos!$D:$D,"Intervenção"))</x:f>
        <x:v>3</x:v>
      </x:c>
      <x:c r="G28" s="30" t="str">
        <x:f>IF($A28="","",IF($D28&lt;=0,"ESGOTADO",IF($D28&lt;=Config!$H$2,"SALDO CRÍTICO",IF($D28&lt;=Config!$H$3,"SALDO BAIXO","OK"))))</x:f>
        <x:v>ESGOTADO</x:v>
      </x:c>
      <x:c r="H28" s="30" t="str">
        <x:f>IF($A28="","",IF($G28="ESGOTADO","Enviar proposta de novo pack",IF($G28="SALDO CRÍTICO","Contactar cliente para renovação",IF($G28="SALDO BAIXO","Acompanhar saldo","Sem ação imediata"))))</x:f>
        <x:v>Enviar proposta de novo pack</x:v>
      </x:c>
    </x:row>
    <x:row r="29">
      <x:c r="A29" s="30" t="str">
        <x:f>IF(Config!A21="","",Config!A21)</x:f>
        <x:v>KEY LEAVES</x:v>
      </x:c>
      <x:c r="B29" s="34" t="n">
        <x:f>IF($A29="","",SUMIFS(Base_Lancamentos!$H:$H,Base_Lancamentos!$B:$B,$A29))</x:f>
        <x:v>5</x:v>
      </x:c>
      <x:c r="C29" s="34" t="n">
        <x:f>IF($A29="","",SUMIFS(Base_Lancamentos!$I:$I,Base_Lancamentos!$B:$B,$A29))</x:f>
        <x:v>5</x:v>
      </x:c>
      <x:c r="D29" s="34" t="n">
        <x:f>IF($A29="","",B29-C29)</x:f>
        <x:v>0</x:v>
      </x:c>
      <x:c r="E29" s="32" t="n">
        <x:f>IF($A29="","",IFERROR(MAXIFS(Base_Lancamentos!$C:$C,Base_Lancamentos!$B:$B,$A29,Base_Lancamentos!$D:$D,"Intervenção"),""))</x:f>
        <x:v>45327</x:v>
      </x:c>
      <x:c r="F29" s="60" t="n">
        <x:f>IF($A29="","",COUNTIFS(Base_Lancamentos!$B:$B,$A29,Base_Lancamentos!$D:$D,"Intervenção"))</x:f>
        <x:v>5</x:v>
      </x:c>
      <x:c r="G29" s="30" t="str">
        <x:f>IF($A29="","",IF($D29&lt;=0,"ESGOTADO",IF($D29&lt;=Config!$H$2,"SALDO CRÍTICO",IF($D29&lt;=Config!$H$3,"SALDO BAIXO","OK"))))</x:f>
        <x:v>ESGOTADO</x:v>
      </x:c>
      <x:c r="H29" s="30" t="str">
        <x:f>IF($A29="","",IF($G29="ESGOTADO","Enviar proposta de novo pack",IF($G29="SALDO CRÍTICO","Contactar cliente para renovação",IF($G29="SALDO BAIXO","Acompanhar saldo","Sem ação imediata"))))</x:f>
        <x:v>Enviar proposta de novo pack</x:v>
      </x:c>
    </x:row>
    <x:row r="30">
      <x:c r="A30" s="30" t="str">
        <x:f>IF(Config!A22="","",Config!A22)</x:f>
        <x:v>KORANGI</x:v>
      </x:c>
      <x:c r="B30" s="34" t="n">
        <x:f>IF($A30="","",SUMIFS(Base_Lancamentos!$H:$H,Base_Lancamentos!$B:$B,$A30))</x:f>
        <x:v>5</x:v>
      </x:c>
      <x:c r="C30" s="34" t="n">
        <x:f>IF($A30="","",SUMIFS(Base_Lancamentos!$I:$I,Base_Lancamentos!$B:$B,$A30))</x:f>
        <x:v>2</x:v>
      </x:c>
      <x:c r="D30" s="34" t="n">
        <x:f>IF($A30="","",B30-C30)</x:f>
        <x:v>3</x:v>
      </x:c>
      <x:c r="E30" s="32" t="n">
        <x:f>IF($A30="","",IFERROR(MAXIFS(Base_Lancamentos!$C:$C,Base_Lancamentos!$B:$B,$A30,Base_Lancamentos!$D:$D,"Intervenção"),""))</x:f>
        <x:v>45918</x:v>
      </x:c>
      <x:c r="F30" s="60" t="n">
        <x:f>IF($A30="","",COUNTIFS(Base_Lancamentos!$B:$B,$A30,Base_Lancamentos!$D:$D,"Intervenção"))</x:f>
        <x:v>1</x:v>
      </x:c>
      <x:c r="G30" s="30" t="str">
        <x:f>IF($A30="","",IF($D30&lt;=0,"ESGOTADO",IF($D30&lt;=Config!$H$2,"SALDO CRÍTICO",IF($D30&lt;=Config!$H$3,"SALDO BAIXO","OK"))))</x:f>
        <x:v>OK</x:v>
      </x:c>
      <x:c r="H30" s="30" t="str">
        <x:f>IF($A30="","",IF($G30="ESGOTADO","Enviar proposta de novo pack",IF($G30="SALDO CRÍTICO","Contactar cliente para renovação",IF($G30="SALDO BAIXO","Acompanhar saldo","Sem ação imediata"))))</x:f>
        <x:v>Sem ação imediata</x:v>
      </x:c>
    </x:row>
    <x:row r="31">
      <x:c r="A31" s="30" t="str">
        <x:f>IF(Config!A23="","",Config!A23)</x:f>
        <x:v>LAMEGO&amp;ASSOC.</x:v>
      </x:c>
      <x:c r="B31" s="34" t="n">
        <x:f>IF($A31="","",SUMIFS(Base_Lancamentos!$H:$H,Base_Lancamentos!$B:$B,$A31))</x:f>
        <x:v>5</x:v>
      </x:c>
      <x:c r="C31" s="34" t="n">
        <x:f>IF($A31="","",SUMIFS(Base_Lancamentos!$I:$I,Base_Lancamentos!$B:$B,$A31))</x:f>
        <x:v>0</x:v>
      </x:c>
      <x:c r="D31" s="34" t="n">
        <x:f>IF($A31="","",B31-C31)</x:f>
        <x:v>5</x:v>
      </x:c>
      <x:c r="E31" s="32" t="n">
        <x:f>IF($A31="","",IFERROR(MAXIFS(Base_Lancamentos!$C:$C,Base_Lancamentos!$B:$B,$A31,Base_Lancamentos!$D:$D,"Intervenção"),""))</x:f>
        <x:v>0</x:v>
      </x:c>
      <x:c r="F31" s="60" t="n">
        <x:f>IF($A31="","",COUNTIFS(Base_Lancamentos!$B:$B,$A31,Base_Lancamentos!$D:$D,"Intervenção"))</x:f>
        <x:v>0</x:v>
      </x:c>
      <x:c r="G31" s="30" t="str">
        <x:f>IF($A31="","",IF($D31&lt;=0,"ESGOTADO",IF($D31&lt;=Config!$H$2,"SALDO CRÍTICO",IF($D31&lt;=Config!$H$3,"SALDO BAIXO","OK"))))</x:f>
        <x:v>OK</x:v>
      </x:c>
      <x:c r="H31" s="30" t="str">
        <x:f>IF($A31="","",IF($G31="ESGOTADO","Enviar proposta de novo pack",IF($G31="SALDO CRÍTICO","Contactar cliente para renovação",IF($G31="SALDO BAIXO","Acompanhar saldo","Sem ação imediata"))))</x:f>
        <x:v>Sem ação imediata</x:v>
      </x:c>
    </x:row>
    <x:row r="32">
      <x:c r="A32" s="30" t="str">
        <x:f>IF(Config!A24="","",Config!A24)</x:f>
        <x:v>LARANJEIRA DENTAL CLINIC</x:v>
      </x:c>
      <x:c r="B32" s="34" t="n">
        <x:f>IF($A32="","",SUMIFS(Base_Lancamentos!$H:$H,Base_Lancamentos!$B:$B,$A32))</x:f>
        <x:v>10</x:v>
      </x:c>
      <x:c r="C32" s="34" t="n">
        <x:f>IF($A32="","",SUMIFS(Base_Lancamentos!$I:$I,Base_Lancamentos!$B:$B,$A32))</x:f>
        <x:v>1</x:v>
      </x:c>
      <x:c r="D32" s="34" t="n">
        <x:f>IF($A32="","",B32-C32)</x:f>
        <x:v>9</x:v>
      </x:c>
      <x:c r="E32" s="32" t="n">
        <x:f>IF($A32="","",IFERROR(MAXIFS(Base_Lancamentos!$C:$C,Base_Lancamentos!$B:$B,$A32,Base_Lancamentos!$D:$D,"Intervenção"),""))</x:f>
        <x:v>45995</x:v>
      </x:c>
      <x:c r="F32" s="60" t="n">
        <x:f>IF($A32="","",COUNTIFS(Base_Lancamentos!$B:$B,$A32,Base_Lancamentos!$D:$D,"Intervenção"))</x:f>
        <x:v>1</x:v>
      </x:c>
      <x:c r="G32" s="30" t="str">
        <x:f>IF($A32="","",IF($D32&lt;=0,"ESGOTADO",IF($D32&lt;=Config!$H$2,"SALDO CRÍTICO",IF($D32&lt;=Config!$H$3,"SALDO BAIXO","OK"))))</x:f>
        <x:v>OK</x:v>
      </x:c>
      <x:c r="H32" s="30" t="str">
        <x:f>IF($A32="","",IF($G32="ESGOTADO","Enviar proposta de novo pack",IF($G32="SALDO CRÍTICO","Contactar cliente para renovação",IF($G32="SALDO BAIXO","Acompanhar saldo","Sem ação imediata"))))</x:f>
        <x:v>Sem ação imediata</x:v>
      </x:c>
    </x:row>
    <x:row r="33">
      <x:c r="A33" s="30" t="str">
        <x:f>IF(Config!A25="","",Config!A25)</x:f>
        <x:v>Luiz Godinho Lopes</x:v>
      </x:c>
      <x:c r="B33" s="34" t="n">
        <x:f>IF($A33="","",SUMIFS(Base_Lancamentos!$H:$H,Base_Lancamentos!$B:$B,$A33))</x:f>
        <x:v>15</x:v>
      </x:c>
      <x:c r="C33" s="34" t="n">
        <x:f>IF($A33="","",SUMIFS(Base_Lancamentos!$I:$I,Base_Lancamentos!$B:$B,$A33))</x:f>
        <x:v>8.5</x:v>
      </x:c>
      <x:c r="D33" s="34" t="n">
        <x:f>IF($A33="","",B33-C33)</x:f>
        <x:v>6.5</x:v>
      </x:c>
      <x:c r="E33" s="32" t="n">
        <x:f>IF($A33="","",IFERROR(MAXIFS(Base_Lancamentos!$C:$C,Base_Lancamentos!$B:$B,$A33,Base_Lancamentos!$D:$D,"Intervenção"),""))</x:f>
        <x:v>45862</x:v>
      </x:c>
      <x:c r="F33" s="60" t="n">
        <x:f>IF($A33="","",COUNTIFS(Base_Lancamentos!$B:$B,$A33,Base_Lancamentos!$D:$D,"Intervenção"))</x:f>
        <x:v>8</x:v>
      </x:c>
      <x:c r="G33" s="30" t="str">
        <x:f>IF($A33="","",IF($D33&lt;=0,"ESGOTADO",IF($D33&lt;=Config!$H$2,"SALDO CRÍTICO",IF($D33&lt;=Config!$H$3,"SALDO BAIXO","OK"))))</x:f>
        <x:v>OK</x:v>
      </x:c>
      <x:c r="H33" s="30" t="str">
        <x:f>IF($A33="","",IF($G33="ESGOTADO","Enviar proposta de novo pack",IF($G33="SALDO CRÍTICO","Contactar cliente para renovação",IF($G33="SALDO BAIXO","Acompanhar saldo","Sem ação imediata"))))</x:f>
        <x:v>Sem ação imediata</x:v>
      </x:c>
    </x:row>
    <x:row r="34">
      <x:c r="A34" s="30" t="str">
        <x:f>IF(Config!A26="","",Config!A26)</x:f>
        <x:v>MARTIM CABRAL</x:v>
      </x:c>
      <x:c r="B34" s="34" t="n">
        <x:f>IF($A34="","",SUMIFS(Base_Lancamentos!$H:$H,Base_Lancamentos!$B:$B,$A34))</x:f>
        <x:v>5</x:v>
      </x:c>
      <x:c r="C34" s="34" t="n">
        <x:f>IF($A34="","",SUMIFS(Base_Lancamentos!$I:$I,Base_Lancamentos!$B:$B,$A34))</x:f>
        <x:v>4.5</x:v>
      </x:c>
      <x:c r="D34" s="34" t="n">
        <x:f>IF($A34="","",B34-C34)</x:f>
        <x:v>0.5</x:v>
      </x:c>
      <x:c r="E34" s="32" t="n">
        <x:f>IF($A34="","",IFERROR(MAXIFS(Base_Lancamentos!$C:$C,Base_Lancamentos!$B:$B,$A34,Base_Lancamentos!$D:$D,"Intervenção"),""))</x:f>
        <x:v>46111</x:v>
      </x:c>
      <x:c r="F34" s="60" t="n">
        <x:f>IF($A34="","",COUNTIFS(Base_Lancamentos!$B:$B,$A34,Base_Lancamentos!$D:$D,"Intervenção"))</x:f>
        <x:v>5</x:v>
      </x:c>
      <x:c r="G34" s="30" t="str">
        <x:f>IF($A34="","",IF($D34&lt;=0,"ESGOTADO",IF($D34&lt;=Config!$H$2,"SALDO CRÍTICO",IF($D34&lt;=Config!$H$3,"SALDO BAIXO","OK"))))</x:f>
        <x:v>SALDO CRÍTICO</x:v>
      </x:c>
      <x:c r="H34" s="30" t="str">
        <x:f>IF($A34="","",IF($G34="ESGOTADO","Enviar proposta de novo pack",IF($G34="SALDO CRÍTICO","Contactar cliente para renovação",IF($G34="SALDO BAIXO","Acompanhar saldo","Sem ação imediata"))))</x:f>
        <x:v>Contactar cliente para renovação</x:v>
      </x:c>
    </x:row>
    <x:row r="35">
      <x:c r="A35" s="30" t="str">
        <x:f>IF(Config!A27="","",Config!A27)</x:f>
        <x:v>MASTER CAPITAL - Unipessoal Lda</x:v>
      </x:c>
      <x:c r="B35" s="34" t="n">
        <x:f>IF($A35="","",SUMIFS(Base_Lancamentos!$H:$H,Base_Lancamentos!$B:$B,$A35))</x:f>
        <x:v>5</x:v>
      </x:c>
      <x:c r="C35" s="34" t="n">
        <x:f>IF($A35="","",SUMIFS(Base_Lancamentos!$I:$I,Base_Lancamentos!$B:$B,$A35))</x:f>
        <x:v>4</x:v>
      </x:c>
      <x:c r="D35" s="34" t="n">
        <x:f>IF($A35="","",B35-C35)</x:f>
        <x:v>1</x:v>
      </x:c>
      <x:c r="E35" s="32" t="n">
        <x:f>IF($A35="","",IFERROR(MAXIFS(Base_Lancamentos!$C:$C,Base_Lancamentos!$B:$B,$A35,Base_Lancamentos!$D:$D,"Intervenção"),""))</x:f>
        <x:v>45748</x:v>
      </x:c>
      <x:c r="F35" s="60" t="n">
        <x:f>IF($A35="","",COUNTIFS(Base_Lancamentos!$B:$B,$A35,Base_Lancamentos!$D:$D,"Intervenção"))</x:f>
        <x:v>3</x:v>
      </x:c>
      <x:c r="G35" s="30" t="str">
        <x:f>IF($A35="","",IF($D35&lt;=0,"ESGOTADO",IF($D35&lt;=Config!$H$2,"SALDO CRÍTICO",IF($D35&lt;=Config!$H$3,"SALDO BAIXO","OK"))))</x:f>
        <x:v>SALDO CRÍTICO</x:v>
      </x:c>
      <x:c r="H35" s="30" t="str">
        <x:f>IF($A35="","",IF($G35="ESGOTADO","Enviar proposta de novo pack",IF($G35="SALDO CRÍTICO","Contactar cliente para renovação",IF($G35="SALDO BAIXO","Acompanhar saldo","Sem ação imediata"))))</x:f>
        <x:v>Contactar cliente para renovação</x:v>
      </x:c>
    </x:row>
    <x:row r="36">
      <x:c r="A36" s="30" t="str">
        <x:f>IF(Config!A28="","",Config!A28)</x:f>
        <x:v>MB GEST</x:v>
      </x:c>
      <x:c r="B36" s="34" t="n">
        <x:f>IF($A36="","",SUMIFS(Base_Lancamentos!$H:$H,Base_Lancamentos!$B:$B,$A36))</x:f>
        <x:v>5</x:v>
      </x:c>
      <x:c r="C36" s="34" t="n">
        <x:f>IF($A36="","",SUMIFS(Base_Lancamentos!$I:$I,Base_Lancamentos!$B:$B,$A36))</x:f>
        <x:v>1</x:v>
      </x:c>
      <x:c r="D36" s="34" t="n">
        <x:f>IF($A36="","",B36-C36)</x:f>
        <x:v>4</x:v>
      </x:c>
      <x:c r="E36" s="32" t="n">
        <x:f>IF($A36="","",IFERROR(MAXIFS(Base_Lancamentos!$C:$C,Base_Lancamentos!$B:$B,$A36,Base_Lancamentos!$D:$D,"Intervenção"),""))</x:f>
        <x:v>45820</x:v>
      </x:c>
      <x:c r="F36" s="60" t="n">
        <x:f>IF($A36="","",COUNTIFS(Base_Lancamentos!$B:$B,$A36,Base_Lancamentos!$D:$D,"Intervenção"))</x:f>
        <x:v>1</x:v>
      </x:c>
      <x:c r="G36" s="30" t="str">
        <x:f>IF($A36="","",IF($D36&lt;=0,"ESGOTADO",IF($D36&lt;=Config!$H$2,"SALDO CRÍTICO",IF($D36&lt;=Config!$H$3,"SALDO BAIXO","OK"))))</x:f>
        <x:v>OK</x:v>
      </x:c>
      <x:c r="H36" s="30" t="str">
        <x:f>IF($A36="","",IF($G36="ESGOTADO","Enviar proposta de novo pack",IF($G36="SALDO CRÍTICO","Contactar cliente para renovação",IF($G36="SALDO BAIXO","Acompanhar saldo","Sem ação imediata"))))</x:f>
        <x:v>Sem ação imediata</x:v>
      </x:c>
    </x:row>
    <x:row r="37">
      <x:c r="A37" s="30" t="str">
        <x:f>IF(Config!A29="","",Config!A29)</x:f>
        <x:v>NIBITS</x:v>
      </x:c>
      <x:c r="B37" s="34" t="n">
        <x:f>IF($A37="","",SUMIFS(Base_Lancamentos!$H:$H,Base_Lancamentos!$B:$B,$A37))</x:f>
        <x:v>20</x:v>
      </x:c>
      <x:c r="C37" s="34" t="n">
        <x:f>IF($A37="","",SUMIFS(Base_Lancamentos!$I:$I,Base_Lancamentos!$B:$B,$A37))</x:f>
        <x:v>15.75</x:v>
      </x:c>
      <x:c r="D37" s="34" t="n">
        <x:f>IF($A37="","",B37-C37)</x:f>
        <x:v>4.25</x:v>
      </x:c>
      <x:c r="E37" s="32" t="n">
        <x:f>IF($A37="","",IFERROR(MAXIFS(Base_Lancamentos!$C:$C,Base_Lancamentos!$B:$B,$A37,Base_Lancamentos!$D:$D,"Intervenção"),""))</x:f>
        <x:v>45743</x:v>
      </x:c>
      <x:c r="F37" s="60" t="n">
        <x:f>IF($A37="","",COUNTIFS(Base_Lancamentos!$B:$B,$A37,Base_Lancamentos!$D:$D,"Intervenção"))</x:f>
        <x:v>12</x:v>
      </x:c>
      <x:c r="G37" s="30" t="str">
        <x:f>IF($A37="","",IF($D37&lt;=0,"ESGOTADO",IF($D37&lt;=Config!$H$2,"SALDO CRÍTICO",IF($D37&lt;=Config!$H$3,"SALDO BAIXO","OK"))))</x:f>
        <x:v>OK</x:v>
      </x:c>
      <x:c r="H37" s="30" t="str">
        <x:f>IF($A37="","",IF($G37="ESGOTADO","Enviar proposta de novo pack",IF($G37="SALDO CRÍTICO","Contactar cliente para renovação",IF($G37="SALDO BAIXO","Acompanhar saldo","Sem ação imediata"))))</x:f>
        <x:v>Sem ação imediata</x:v>
      </x:c>
    </x:row>
    <x:row r="38">
      <x:c r="A38" s="30" t="str">
        <x:f>IF(Config!A30="","",Config!A30)</x:f>
        <x:v>NOVAMENTE</x:v>
      </x:c>
      <x:c r="B38" s="34" t="n">
        <x:f>IF($A38="","",SUMIFS(Base_Lancamentos!$H:$H,Base_Lancamentos!$B:$B,$A38))</x:f>
        <x:v>5</x:v>
      </x:c>
      <x:c r="C38" s="34" t="n">
        <x:f>IF($A38="","",SUMIFS(Base_Lancamentos!$I:$I,Base_Lancamentos!$B:$B,$A38))</x:f>
        <x:v>3</x:v>
      </x:c>
      <x:c r="D38" s="34" t="n">
        <x:f>IF($A38="","",B38-C38)</x:f>
        <x:v>2</x:v>
      </x:c>
      <x:c r="E38" s="32" t="n">
        <x:f>IF($A38="","",IFERROR(MAXIFS(Base_Lancamentos!$C:$C,Base_Lancamentos!$B:$B,$A38,Base_Lancamentos!$D:$D,"Intervenção"),""))</x:f>
        <x:v>46071</x:v>
      </x:c>
      <x:c r="F38" s="60" t="n">
        <x:f>IF($A38="","",COUNTIFS(Base_Lancamentos!$B:$B,$A38,Base_Lancamentos!$D:$D,"Intervenção"))</x:f>
        <x:v>4</x:v>
      </x:c>
      <x:c r="G38" s="30" t="str">
        <x:f>IF($A38="","",IF($D38&lt;=0,"ESGOTADO",IF($D38&lt;=Config!$H$2,"SALDO CRÍTICO",IF($D38&lt;=Config!$H$3,"SALDO BAIXO","OK"))))</x:f>
        <x:v>SALDO BAIXO</x:v>
      </x:c>
      <x:c r="H38" s="30" t="str">
        <x:f>IF($A38="","",IF($G38="ESGOTADO","Enviar proposta de novo pack",IF($G38="SALDO CRÍTICO","Contactar cliente para renovação",IF($G38="SALDO BAIXO","Acompanhar saldo","Sem ação imediata"))))</x:f>
        <x:v>Acompanhar saldo</x:v>
      </x:c>
    </x:row>
    <x:row r="39">
      <x:c r="A39" s="30" t="str">
        <x:f>IF(Config!A31="","",Config!A31)</x:f>
        <x:v>ODD</x:v>
      </x:c>
      <x:c r="B39" s="34" t="n">
        <x:f>IF($A39="","",SUMIFS(Base_Lancamentos!$H:$H,Base_Lancamentos!$B:$B,$A39))</x:f>
        <x:v>10</x:v>
      </x:c>
      <x:c r="C39" s="34" t="n">
        <x:f>IF($A39="","",SUMIFS(Base_Lancamentos!$I:$I,Base_Lancamentos!$B:$B,$A39))</x:f>
        <x:v>7.5</x:v>
      </x:c>
      <x:c r="D39" s="34" t="n">
        <x:f>IF($A39="","",B39-C39)</x:f>
        <x:v>2.5</x:v>
      </x:c>
      <x:c r="E39" s="32" t="n">
        <x:f>IF($A39="","",IFERROR(MAXIFS(Base_Lancamentos!$C:$C,Base_Lancamentos!$B:$B,$A39,Base_Lancamentos!$D:$D,"Intervenção"),""))</x:f>
        <x:v>45604</x:v>
      </x:c>
      <x:c r="F39" s="60" t="n">
        <x:f>IF($A39="","",COUNTIFS(Base_Lancamentos!$B:$B,$A39,Base_Lancamentos!$D:$D,"Intervenção"))</x:f>
        <x:v>8</x:v>
      </x:c>
      <x:c r="G39" s="30" t="str">
        <x:f>IF($A39="","",IF($D39&lt;=0,"ESGOTADO",IF($D39&lt;=Config!$H$2,"SALDO CRÍTICO",IF($D39&lt;=Config!$H$3,"SALDO BAIXO","OK"))))</x:f>
        <x:v>OK</x:v>
      </x:c>
      <x:c r="H39" s="30" t="str">
        <x:f>IF($A39="","",IF($G39="ESGOTADO","Enviar proposta de novo pack",IF($G39="SALDO CRÍTICO","Contactar cliente para renovação",IF($G39="SALDO BAIXO","Acompanhar saldo","Sem ação imediata"))))</x:f>
        <x:v>Sem ação imediata</x:v>
      </x:c>
    </x:row>
    <x:row r="40">
      <x:c r="A40" s="30" t="str">
        <x:f>IF(Config!A32="","",Config!A32)</x:f>
        <x:v>Paint&amp;Go</x:v>
      </x:c>
      <x:c r="B40" s="34" t="n">
        <x:f>IF($A40="","",SUMIFS(Base_Lancamentos!$H:$H,Base_Lancamentos!$B:$B,$A40))</x:f>
        <x:v>10</x:v>
      </x:c>
      <x:c r="C40" s="34" t="n">
        <x:f>IF($A40="","",SUMIFS(Base_Lancamentos!$I:$I,Base_Lancamentos!$B:$B,$A40))</x:f>
        <x:v>10</x:v>
      </x:c>
      <x:c r="D40" s="34" t="n">
        <x:f>IF($A40="","",B40-C40)</x:f>
        <x:v>0</x:v>
      </x:c>
      <x:c r="E40" s="32" t="n">
        <x:f>IF($A40="","",IFERROR(MAXIFS(Base_Lancamentos!$C:$C,Base_Lancamentos!$B:$B,$A40,Base_Lancamentos!$D:$D,"Intervenção"),""))</x:f>
        <x:v>45958</x:v>
      </x:c>
      <x:c r="F40" s="60" t="n">
        <x:f>IF($A40="","",COUNTIFS(Base_Lancamentos!$B:$B,$A40,Base_Lancamentos!$D:$D,"Intervenção"))</x:f>
        <x:v>4</x:v>
      </x:c>
      <x:c r="G40" s="30" t="str">
        <x:f>IF($A40="","",IF($D40&lt;=0,"ESGOTADO",IF($D40&lt;=Config!$H$2,"SALDO CRÍTICO",IF($D40&lt;=Config!$H$3,"SALDO BAIXO","OK"))))</x:f>
        <x:v>ESGOTADO</x:v>
      </x:c>
      <x:c r="H40" s="30" t="str">
        <x:f>IF($A40="","",IF($G40="ESGOTADO","Enviar proposta de novo pack",IF($G40="SALDO CRÍTICO","Contactar cliente para renovação",IF($G40="SALDO BAIXO","Acompanhar saldo","Sem ação imediata"))))</x:f>
        <x:v>Enviar proposta de novo pack</x:v>
      </x:c>
    </x:row>
    <x:row r="41">
      <x:c r="A41" s="30" t="str">
        <x:f>IF(Config!A33="","",Config!A33)</x:f>
        <x:v>PARÁGRAFO EXCLUSIVO</x:v>
      </x:c>
      <x:c r="B41" s="34" t="n">
        <x:f>IF($A41="","",SUMIFS(Base_Lancamentos!$H:$H,Base_Lancamentos!$B:$B,$A41))</x:f>
        <x:v>10</x:v>
      </x:c>
      <x:c r="C41" s="34" t="n">
        <x:f>IF($A41="","",SUMIFS(Base_Lancamentos!$I:$I,Base_Lancamentos!$B:$B,$A41))</x:f>
        <x:v>9.5</x:v>
      </x:c>
      <x:c r="D41" s="34" t="n">
        <x:f>IF($A41="","",B41-C41)</x:f>
        <x:v>0.5</x:v>
      </x:c>
      <x:c r="E41" s="32" t="n">
        <x:f>IF($A41="","",IFERROR(MAXIFS(Base_Lancamentos!$C:$C,Base_Lancamentos!$B:$B,$A41,Base_Lancamentos!$D:$D,"Intervenção"),""))</x:f>
        <x:v>46097</x:v>
      </x:c>
      <x:c r="F41" s="60" t="n">
        <x:f>IF($A41="","",COUNTIFS(Base_Lancamentos!$B:$B,$A41,Base_Lancamentos!$D:$D,"Intervenção"))</x:f>
        <x:v>6</x:v>
      </x:c>
      <x:c r="G41" s="30" t="str">
        <x:f>IF($A41="","",IF($D41&lt;=0,"ESGOTADO",IF($D41&lt;=Config!$H$2,"SALDO CRÍTICO",IF($D41&lt;=Config!$H$3,"SALDO BAIXO","OK"))))</x:f>
        <x:v>SALDO CRÍTICO</x:v>
      </x:c>
      <x:c r="H41" s="30" t="str">
        <x:f>IF($A41="","",IF($G41="ESGOTADO","Enviar proposta de novo pack",IF($G41="SALDO CRÍTICO","Contactar cliente para renovação",IF($G41="SALDO BAIXO","Acompanhar saldo","Sem ação imediata"))))</x:f>
        <x:v>Contactar cliente para renovação</x:v>
      </x:c>
    </x:row>
    <x:row r="42">
      <x:c r="A42" s="30" t="str">
        <x:f>IF(Config!A34="","",Config!A34)</x:f>
        <x:v>PEAKWISE</x:v>
      </x:c>
      <x:c r="B42" s="34" t="n">
        <x:f>IF($A42="","",SUMIFS(Base_Lancamentos!$H:$H,Base_Lancamentos!$B:$B,$A42))</x:f>
        <x:v>10</x:v>
      </x:c>
      <x:c r="C42" s="34" t="n">
        <x:f>IF($A42="","",SUMIFS(Base_Lancamentos!$I:$I,Base_Lancamentos!$B:$B,$A42))</x:f>
        <x:v>8.5</x:v>
      </x:c>
      <x:c r="D42" s="34" t="n">
        <x:f>IF($A42="","",B42-C42)</x:f>
        <x:v>1.5</x:v>
      </x:c>
      <x:c r="E42" s="32" t="n">
        <x:f>IF($A42="","",IFERROR(MAXIFS(Base_Lancamentos!$C:$C,Base_Lancamentos!$B:$B,$A42,Base_Lancamentos!$D:$D,"Intervenção"),""))</x:f>
        <x:v>46133</x:v>
      </x:c>
      <x:c r="F42" s="60" t="n">
        <x:f>IF($A42="","",COUNTIFS(Base_Lancamentos!$B:$B,$A42,Base_Lancamentos!$D:$D,"Intervenção"))</x:f>
        <x:v>13</x:v>
      </x:c>
      <x:c r="G42" s="30" t="str">
        <x:f>IF($A42="","",IF($D42&lt;=0,"ESGOTADO",IF($D42&lt;=Config!$H$2,"SALDO CRÍTICO",IF($D42&lt;=Config!$H$3,"SALDO BAIXO","OK"))))</x:f>
        <x:v>SALDO BAIXO</x:v>
      </x:c>
      <x:c r="H42" s="30" t="str">
        <x:f>IF($A42="","",IF($G42="ESGOTADO","Enviar proposta de novo pack",IF($G42="SALDO CRÍTICO","Contactar cliente para renovação",IF($G42="SALDO BAIXO","Acompanhar saldo","Sem ação imediata"))))</x:f>
        <x:v>Acompanhar saldo</x:v>
      </x:c>
    </x:row>
    <x:row r="43">
      <x:c r="A43" s="30" t="str">
        <x:f>IF(Config!A35="","",Config!A35)</x:f>
        <x:v>PERCENTIL</x:v>
      </x:c>
      <x:c r="B43" s="34" t="n">
        <x:f>IF($A43="","",SUMIFS(Base_Lancamentos!$H:$H,Base_Lancamentos!$B:$B,$A43))</x:f>
        <x:v>40</x:v>
      </x:c>
      <x:c r="C43" s="34" t="n">
        <x:f>IF($A43="","",SUMIFS(Base_Lancamentos!$I:$I,Base_Lancamentos!$B:$B,$A43))</x:f>
        <x:v>31.5</x:v>
      </x:c>
      <x:c r="D43" s="34" t="n">
        <x:f>IF($A43="","",B43-C43)</x:f>
        <x:v>8.5</x:v>
      </x:c>
      <x:c r="E43" s="32" t="n">
        <x:f>IF($A43="","",IFERROR(MAXIFS(Base_Lancamentos!$C:$C,Base_Lancamentos!$B:$B,$A43,Base_Lancamentos!$D:$D,"Intervenção"),""))</x:f>
        <x:v>45944</x:v>
      </x:c>
      <x:c r="F43" s="60" t="n">
        <x:f>IF($A43="","",COUNTIFS(Base_Lancamentos!$B:$B,$A43,Base_Lancamentos!$D:$D,"Intervenção"))</x:f>
        <x:v>22</x:v>
      </x:c>
      <x:c r="G43" s="30" t="str">
        <x:f>IF($A43="","",IF($D43&lt;=0,"ESGOTADO",IF($D43&lt;=Config!$H$2,"SALDO CRÍTICO",IF($D43&lt;=Config!$H$3,"SALDO BAIXO","OK"))))</x:f>
        <x:v>OK</x:v>
      </x:c>
      <x:c r="H43" s="30" t="str">
        <x:f>IF($A43="","",IF($G43="ESGOTADO","Enviar proposta de novo pack",IF($G43="SALDO CRÍTICO","Contactar cliente para renovação",IF($G43="SALDO BAIXO","Acompanhar saldo","Sem ação imediata"))))</x:f>
        <x:v>Sem ação imediata</x:v>
      </x:c>
    </x:row>
    <x:row r="44">
      <x:c r="A44" s="30" t="str">
        <x:f>IF(Config!A36="","",Config!A36)</x:f>
        <x:v>PRIME PORTUGAL</x:v>
      </x:c>
      <x:c r="B44" s="34" t="n">
        <x:f>IF($A44="","",SUMIFS(Base_Lancamentos!$H:$H,Base_Lancamentos!$B:$B,$A44))</x:f>
        <x:v>5</x:v>
      </x:c>
      <x:c r="C44" s="34" t="n">
        <x:f>IF($A44="","",SUMIFS(Base_Lancamentos!$I:$I,Base_Lancamentos!$B:$B,$A44))</x:f>
        <x:v>5.300000000000001</x:v>
      </x:c>
      <x:c r="D44" s="34" t="n">
        <x:f>IF($A44="","",B44-C44)</x:f>
        <x:v>-0.3000000000000007</x:v>
      </x:c>
      <x:c r="E44" s="32" t="n">
        <x:f>IF($A44="","",IFERROR(MAXIFS(Base_Lancamentos!$C:$C,Base_Lancamentos!$B:$B,$A44,Base_Lancamentos!$D:$D,"Intervenção"),""))</x:f>
        <x:v>45670</x:v>
      </x:c>
      <x:c r="F44" s="60" t="n">
        <x:f>IF($A44="","",COUNTIFS(Base_Lancamentos!$B:$B,$A44,Base_Lancamentos!$D:$D,"Intervenção"))</x:f>
        <x:v>6</x:v>
      </x:c>
      <x:c r="G44" s="30" t="str">
        <x:f>IF($A44="","",IF($D44&lt;=0,"ESGOTADO",IF($D44&lt;=Config!$H$2,"SALDO CRÍTICO",IF($D44&lt;=Config!$H$3,"SALDO BAIXO","OK"))))</x:f>
        <x:v>ESGOTADO</x:v>
      </x:c>
      <x:c r="H44" s="30" t="str">
        <x:f>IF($A44="","",IF($G44="ESGOTADO","Enviar proposta de novo pack",IF($G44="SALDO CRÍTICO","Contactar cliente para renovação",IF($G44="SALDO BAIXO","Acompanhar saldo","Sem ação imediata"))))</x:f>
        <x:v>Enviar proposta de novo pack</x:v>
      </x:c>
    </x:row>
    <x:row r="45">
      <x:c r="A45" s="30" t="str">
        <x:f>IF(Config!A37="","",Config!A37)</x:f>
        <x:v>PUREZA</x:v>
      </x:c>
      <x:c r="B45" s="34" t="n">
        <x:f>IF($A45="","",SUMIFS(Base_Lancamentos!$H:$H,Base_Lancamentos!$B:$B,$A45))</x:f>
        <x:v>5</x:v>
      </x:c>
      <x:c r="C45" s="34" t="n">
        <x:f>IF($A45="","",SUMIFS(Base_Lancamentos!$I:$I,Base_Lancamentos!$B:$B,$A45))</x:f>
        <x:v>1.5</x:v>
      </x:c>
      <x:c r="D45" s="34" t="n">
        <x:f>IF($A45="","",B45-C45)</x:f>
        <x:v>3.5</x:v>
      </x:c>
      <x:c r="E45" s="32" t="n">
        <x:f>IF($A45="","",IFERROR(MAXIFS(Base_Lancamentos!$C:$C,Base_Lancamentos!$B:$B,$A45,Base_Lancamentos!$D:$D,"Intervenção"),""))</x:f>
        <x:v>46114</x:v>
      </x:c>
      <x:c r="F45" s="60" t="n">
        <x:f>IF($A45="","",COUNTIFS(Base_Lancamentos!$B:$B,$A45,Base_Lancamentos!$D:$D,"Intervenção"))</x:f>
        <x:v>2</x:v>
      </x:c>
      <x:c r="G45" s="30" t="str">
        <x:f>IF($A45="","",IF($D45&lt;=0,"ESGOTADO",IF($D45&lt;=Config!$H$2,"SALDO CRÍTICO",IF($D45&lt;=Config!$H$3,"SALDO BAIXO","OK"))))</x:f>
        <x:v>OK</x:v>
      </x:c>
      <x:c r="H45" s="30" t="str">
        <x:f>IF($A45="","",IF($G45="ESGOTADO","Enviar proposta de novo pack",IF($G45="SALDO CRÍTICO","Contactar cliente para renovação",IF($G45="SALDO BAIXO","Acompanhar saldo","Sem ação imediata"))))</x:f>
        <x:v>Sem ação imediata</x:v>
      </x:c>
    </x:row>
    <x:row r="46">
      <x:c r="A46" s="30" t="str">
        <x:f>IF(Config!A38="","",Config!A38)</x:f>
        <x:v>REORGANIZA COM SENTIDO</x:v>
      </x:c>
      <x:c r="B46" s="34" t="n">
        <x:f>IF($A46="","",SUMIFS(Base_Lancamentos!$H:$H,Base_Lancamentos!$B:$B,$A46))</x:f>
        <x:v>25</x:v>
      </x:c>
      <x:c r="C46" s="34" t="n">
        <x:f>IF($A46="","",SUMIFS(Base_Lancamentos!$I:$I,Base_Lancamentos!$B:$B,$A46))</x:f>
        <x:v>25.4</x:v>
      </x:c>
      <x:c r="D46" s="34" t="n">
        <x:f>IF($A46="","",B46-C46)</x:f>
        <x:v>-0.3999999999999986</x:v>
      </x:c>
      <x:c r="E46" s="32" t="n">
        <x:f>IF($A46="","",IFERROR(MAXIFS(Base_Lancamentos!$C:$C,Base_Lancamentos!$B:$B,$A46,Base_Lancamentos!$D:$D,"Intervenção"),""))</x:f>
        <x:v>45810</x:v>
      </x:c>
      <x:c r="F46" s="60" t="n">
        <x:f>IF($A46="","",COUNTIFS(Base_Lancamentos!$B:$B,$A46,Base_Lancamentos!$D:$D,"Intervenção"))</x:f>
        <x:v>31</x:v>
      </x:c>
      <x:c r="G46" s="30" t="str">
        <x:f>IF($A46="","",IF($D46&lt;=0,"ESGOTADO",IF($D46&lt;=Config!$H$2,"SALDO CRÍTICO",IF($D46&lt;=Config!$H$3,"SALDO BAIXO","OK"))))</x:f>
        <x:v>ESGOTADO</x:v>
      </x:c>
      <x:c r="H46" s="30" t="str">
        <x:f>IF($A46="","",IF($G46="ESGOTADO","Enviar proposta de novo pack",IF($G46="SALDO CRÍTICO","Contactar cliente para renovação",IF($G46="SALDO BAIXO","Acompanhar saldo","Sem ação imediata"))))</x:f>
        <x:v>Enviar proposta de novo pack</x:v>
      </x:c>
    </x:row>
    <x:row r="47">
      <x:c r="A47" s="30" t="str">
        <x:f>IF(Config!A39="","",Config!A39)</x:f>
        <x:v>SHAPING FUTURES (Patricia Silve</x:v>
      </x:c>
      <x:c r="B47" s="34" t="n">
        <x:f>IF($A47="","",SUMIFS(Base_Lancamentos!$H:$H,Base_Lancamentos!$B:$B,$A47))</x:f>
        <x:v>5</x:v>
      </x:c>
      <x:c r="C47" s="34" t="n">
        <x:f>IF($A47="","",SUMIFS(Base_Lancamentos!$I:$I,Base_Lancamentos!$B:$B,$A47))</x:f>
        <x:v>1.5</x:v>
      </x:c>
      <x:c r="D47" s="34" t="n">
        <x:f>IF($A47="","",B47-C47)</x:f>
        <x:v>3.5</x:v>
      </x:c>
      <x:c r="E47" s="32" t="n">
        <x:f>IF($A47="","",IFERROR(MAXIFS(Base_Lancamentos!$C:$C,Base_Lancamentos!$B:$B,$A47,Base_Lancamentos!$D:$D,"Intervenção"),""))</x:f>
        <x:v>44819</x:v>
      </x:c>
      <x:c r="F47" s="60" t="n">
        <x:f>IF($A47="","",COUNTIFS(Base_Lancamentos!$B:$B,$A47,Base_Lancamentos!$D:$D,"Intervenção"))</x:f>
        <x:v>1</x:v>
      </x:c>
      <x:c r="G47" s="30" t="str">
        <x:f>IF($A47="","",IF($D47&lt;=0,"ESGOTADO",IF($D47&lt;=Config!$H$2,"SALDO CRÍTICO",IF($D47&lt;=Config!$H$3,"SALDO BAIXO","OK"))))</x:f>
        <x:v>OK</x:v>
      </x:c>
      <x:c r="H47" s="30" t="str">
        <x:f>IF($A47="","",IF($G47="ESGOTADO","Enviar proposta de novo pack",IF($G47="SALDO CRÍTICO","Contactar cliente para renovação",IF($G47="SALDO BAIXO","Acompanhar saldo","Sem ação imediata"))))</x:f>
        <x:v>Sem ação imediata</x:v>
      </x:c>
    </x:row>
    <x:row r="48">
      <x:c r="A48" s="30" t="str">
        <x:f>IF(Config!A40="","",Config!A40)</x:f>
        <x:v>SOC. AGRICOLA VALE CAMARINHAS</x:v>
      </x:c>
      <x:c r="B48" s="34" t="n">
        <x:f>IF($A48="","",SUMIFS(Base_Lancamentos!$H:$H,Base_Lancamentos!$B:$B,$A48))</x:f>
        <x:v>10</x:v>
      </x:c>
      <x:c r="C48" s="34" t="n">
        <x:f>IF($A48="","",SUMIFS(Base_Lancamentos!$I:$I,Base_Lancamentos!$B:$B,$A48))</x:f>
        <x:v>5.5</x:v>
      </x:c>
      <x:c r="D48" s="34" t="n">
        <x:f>IF($A48="","",B48-C48)</x:f>
        <x:v>4.5</x:v>
      </x:c>
      <x:c r="E48" s="32" t="n">
        <x:f>IF($A48="","",IFERROR(MAXIFS(Base_Lancamentos!$C:$C,Base_Lancamentos!$B:$B,$A48,Base_Lancamentos!$D:$D,"Intervenção"),""))</x:f>
        <x:v>46044</x:v>
      </x:c>
      <x:c r="F48" s="60" t="n">
        <x:f>IF($A48="","",COUNTIFS(Base_Lancamentos!$B:$B,$A48,Base_Lancamentos!$D:$D,"Intervenção"))</x:f>
        <x:v>9</x:v>
      </x:c>
      <x:c r="G48" s="30" t="str">
        <x:f>IF($A48="","",IF($D48&lt;=0,"ESGOTADO",IF($D48&lt;=Config!$H$2,"SALDO CRÍTICO",IF($D48&lt;=Config!$H$3,"SALDO BAIXO","OK"))))</x:f>
        <x:v>OK</x:v>
      </x:c>
      <x:c r="H48" s="30" t="str">
        <x:f>IF($A48="","",IF($G48="ESGOTADO","Enviar proposta de novo pack",IF($G48="SALDO CRÍTICO","Contactar cliente para renovação",IF($G48="SALDO BAIXO","Acompanhar saldo","Sem ação imediata"))))</x:f>
        <x:v>Sem ação imediata</x:v>
      </x:c>
    </x:row>
    <x:row r="49">
      <x:c r="A49" s="30" t="str">
        <x:f>IF(Config!A41="","",Config!A41)</x:f>
        <x:v>SOSTATE</x:v>
      </x:c>
      <x:c r="B49" s="34" t="n">
        <x:f>IF($A49="","",SUMIFS(Base_Lancamentos!$H:$H,Base_Lancamentos!$B:$B,$A49))</x:f>
        <x:v>5</x:v>
      </x:c>
      <x:c r="C49" s="34" t="n">
        <x:f>IF($A49="","",SUMIFS(Base_Lancamentos!$I:$I,Base_Lancamentos!$B:$B,$A49))</x:f>
        <x:v>4</x:v>
      </x:c>
      <x:c r="D49" s="34" t="n">
        <x:f>IF($A49="","",B49-C49)</x:f>
        <x:v>1</x:v>
      </x:c>
      <x:c r="E49" s="32" t="n">
        <x:f>IF($A49="","",IFERROR(MAXIFS(Base_Lancamentos!$C:$C,Base_Lancamentos!$B:$B,$A49,Base_Lancamentos!$D:$D,"Intervenção"),""))</x:f>
        <x:v>46048</x:v>
      </x:c>
      <x:c r="F49" s="60" t="n">
        <x:f>IF($A49="","",COUNTIFS(Base_Lancamentos!$B:$B,$A49,Base_Lancamentos!$D:$D,"Intervenção"))</x:f>
        <x:v>4</x:v>
      </x:c>
      <x:c r="G49" s="30" t="str">
        <x:f>IF($A49="","",IF($D49&lt;=0,"ESGOTADO",IF($D49&lt;=Config!$H$2,"SALDO CRÍTICO",IF($D49&lt;=Config!$H$3,"SALDO BAIXO","OK"))))</x:f>
        <x:v>SALDO CRÍTICO</x:v>
      </x:c>
      <x:c r="H49" s="30" t="str">
        <x:f>IF($A49="","",IF($G49="ESGOTADO","Enviar proposta de novo pack",IF($G49="SALDO CRÍTICO","Contactar cliente para renovação",IF($G49="SALDO BAIXO","Acompanhar saldo","Sem ação imediata"))))</x:f>
        <x:v>Contactar cliente para renovação</x:v>
      </x:c>
    </x:row>
    <x:row r="50">
      <x:c r="A50" s="30" t="str">
        <x:f>IF(Config!A42="","",Config!A42)</x:f>
      </x:c>
      <x:c r="B50" s="34" t="str">
        <x:f>IF($A50="","",SUMIFS(Base_Lancamentos!$H:$H,Base_Lancamentos!$B:$B,$A50))</x:f>
      </x:c>
      <x:c r="C50" s="34" t="str">
        <x:f>IF($A50="","",SUMIFS(Base_Lancamentos!$I:$I,Base_Lancamentos!$B:$B,$A50))</x:f>
      </x:c>
      <x:c r="D50" s="34" t="str">
        <x:f>IF($A50="","",B50-C50)</x:f>
      </x:c>
      <x:c r="E50" s="32" t="str">
        <x:f>IF($A50="","",IFERROR(MAXIFS(Base_Lancamentos!$C:$C,Base_Lancamentos!$B:$B,$A50,Base_Lancamentos!$D:$D,"Intervenção"),""))</x:f>
      </x:c>
      <x:c r="F50" s="60" t="str">
        <x:f>IF($A50="","",COUNTIFS(Base_Lancamentos!$B:$B,$A50,Base_Lancamentos!$D:$D,"Intervenção"))</x:f>
      </x:c>
      <x:c r="G50" s="30" t="str">
        <x:f>IF($A50="","",IF($D50&lt;=0,"ESGOTADO",IF($D50&lt;=Config!$H$2,"SALDO CRÍTICO",IF($D50&lt;=Config!$H$3,"SALDO BAIXO","OK"))))</x:f>
      </x:c>
      <x:c r="H50" s="30" t="str">
        <x:f>IF($A50="","",IF($G50="ESGOTADO","Enviar proposta de novo pack",IF($G50="SALDO CRÍTICO","Contactar cliente para renovação",IF($G50="SALDO BAIXO","Acompanhar saldo","Sem ação imediata"))))</x:f>
      </x:c>
    </x:row>
    <x:row r="51">
      <x:c r="A51" s="30" t="str">
        <x:f>IF(Config!A43="","",Config!A43)</x:f>
      </x:c>
      <x:c r="B51" s="34" t="str">
        <x:f>IF($A51="","",SUMIFS(Base_Lancamentos!$H:$H,Base_Lancamentos!$B:$B,$A51))</x:f>
      </x:c>
      <x:c r="C51" s="34" t="str">
        <x:f>IF($A51="","",SUMIFS(Base_Lancamentos!$I:$I,Base_Lancamentos!$B:$B,$A51))</x:f>
      </x:c>
      <x:c r="D51" s="34" t="str">
        <x:f>IF($A51="","",B51-C51)</x:f>
      </x:c>
      <x:c r="E51" s="32" t="str">
        <x:f>IF($A51="","",IFERROR(MAXIFS(Base_Lancamentos!$C:$C,Base_Lancamentos!$B:$B,$A51,Base_Lancamentos!$D:$D,"Intervenção"),""))</x:f>
      </x:c>
      <x:c r="F51" s="60" t="str">
        <x:f>IF($A51="","",COUNTIFS(Base_Lancamentos!$B:$B,$A51,Base_Lancamentos!$D:$D,"Intervenção"))</x:f>
      </x:c>
      <x:c r="G51" s="30" t="str">
        <x:f>IF($A51="","",IF($D51&lt;=0,"ESGOTADO",IF($D51&lt;=Config!$H$2,"SALDO CRÍTICO",IF($D51&lt;=Config!$H$3,"SALDO BAIXO","OK"))))</x:f>
      </x:c>
      <x:c r="H51" s="30" t="str">
        <x:f>IF($A51="","",IF($G51="ESGOTADO","Enviar proposta de novo pack",IF($G51="SALDO CRÍTICO","Contactar cliente para renovação",IF($G51="SALDO BAIXO","Acompanhar saldo","Sem ação imediata"))))</x:f>
      </x:c>
    </x:row>
    <x:row r="52">
      <x:c r="A52" s="30" t="str">
        <x:f>IF(Config!A44="","",Config!A44)</x:f>
      </x:c>
      <x:c r="B52" s="34" t="str">
        <x:f>IF($A52="","",SUMIFS(Base_Lancamentos!$H:$H,Base_Lancamentos!$B:$B,$A52))</x:f>
      </x:c>
      <x:c r="C52" s="34" t="str">
        <x:f>IF($A52="","",SUMIFS(Base_Lancamentos!$I:$I,Base_Lancamentos!$B:$B,$A52))</x:f>
      </x:c>
      <x:c r="D52" s="34" t="str">
        <x:f>IF($A52="","",B52-C52)</x:f>
      </x:c>
      <x:c r="E52" s="32" t="str">
        <x:f>IF($A52="","",IFERROR(MAXIFS(Base_Lancamentos!$C:$C,Base_Lancamentos!$B:$B,$A52,Base_Lancamentos!$D:$D,"Intervenção"),""))</x:f>
      </x:c>
      <x:c r="F52" s="60" t="str">
        <x:f>IF($A52="","",COUNTIFS(Base_Lancamentos!$B:$B,$A52,Base_Lancamentos!$D:$D,"Intervenção"))</x:f>
      </x:c>
      <x:c r="G52" s="30" t="str">
        <x:f>IF($A52="","",IF($D52&lt;=0,"ESGOTADO",IF($D52&lt;=Config!$H$2,"SALDO CRÍTICO",IF($D52&lt;=Config!$H$3,"SALDO BAIXO","OK"))))</x:f>
      </x:c>
      <x:c r="H52" s="30" t="str">
        <x:f>IF($A52="","",IF($G52="ESGOTADO","Enviar proposta de novo pack",IF($G52="SALDO CRÍTICO","Contactar cliente para renovação",IF($G52="SALDO BAIXO","Acompanhar saldo","Sem ação imediata"))))</x:f>
      </x:c>
    </x:row>
    <x:row r="53">
      <x:c r="A53" s="30" t="str">
        <x:f>IF(Config!A45="","",Config!A45)</x:f>
      </x:c>
      <x:c r="B53" s="34" t="str">
        <x:f>IF($A53="","",SUMIFS(Base_Lancamentos!$H:$H,Base_Lancamentos!$B:$B,$A53))</x:f>
      </x:c>
      <x:c r="C53" s="34" t="str">
        <x:f>IF($A53="","",SUMIFS(Base_Lancamentos!$I:$I,Base_Lancamentos!$B:$B,$A53))</x:f>
      </x:c>
      <x:c r="D53" s="34" t="str">
        <x:f>IF($A53="","",B53-C53)</x:f>
      </x:c>
      <x:c r="E53" s="32" t="str">
        <x:f>IF($A53="","",IFERROR(MAXIFS(Base_Lancamentos!$C:$C,Base_Lancamentos!$B:$B,$A53,Base_Lancamentos!$D:$D,"Intervenção"),""))</x:f>
      </x:c>
      <x:c r="F53" s="60" t="str">
        <x:f>IF($A53="","",COUNTIFS(Base_Lancamentos!$B:$B,$A53,Base_Lancamentos!$D:$D,"Intervenção"))</x:f>
      </x:c>
      <x:c r="G53" s="30" t="str">
        <x:f>IF($A53="","",IF($D53&lt;=0,"ESGOTADO",IF($D53&lt;=Config!$H$2,"SALDO CRÍTICO",IF($D53&lt;=Config!$H$3,"SALDO BAIXO","OK"))))</x:f>
      </x:c>
      <x:c r="H53" s="30" t="str">
        <x:f>IF($A53="","",IF($G53="ESGOTADO","Enviar proposta de novo pack",IF($G53="SALDO CRÍTICO","Contactar cliente para renovação",IF($G53="SALDO BAIXO","Acompanhar saldo","Sem ação imediata"))))</x:f>
      </x:c>
    </x:row>
    <x:row r="54">
      <x:c r="A54" s="30" t="str">
        <x:f>IF(Config!A46="","",Config!A46)</x:f>
      </x:c>
      <x:c r="B54" s="34" t="str">
        <x:f>IF($A54="","",SUMIFS(Base_Lancamentos!$H:$H,Base_Lancamentos!$B:$B,$A54))</x:f>
      </x:c>
      <x:c r="C54" s="34" t="str">
        <x:f>IF($A54="","",SUMIFS(Base_Lancamentos!$I:$I,Base_Lancamentos!$B:$B,$A54))</x:f>
      </x:c>
      <x:c r="D54" s="34" t="str">
        <x:f>IF($A54="","",B54-C54)</x:f>
      </x:c>
      <x:c r="E54" s="32" t="str">
        <x:f>IF($A54="","",IFERROR(MAXIFS(Base_Lancamentos!$C:$C,Base_Lancamentos!$B:$B,$A54,Base_Lancamentos!$D:$D,"Intervenção"),""))</x:f>
      </x:c>
      <x:c r="F54" s="60" t="str">
        <x:f>IF($A54="","",COUNTIFS(Base_Lancamentos!$B:$B,$A54,Base_Lancamentos!$D:$D,"Intervenção"))</x:f>
      </x:c>
      <x:c r="G54" s="30" t="str">
        <x:f>IF($A54="","",IF($D54&lt;=0,"ESGOTADO",IF($D54&lt;=Config!$H$2,"SALDO CRÍTICO",IF($D54&lt;=Config!$H$3,"SALDO BAIXO","OK"))))</x:f>
      </x:c>
      <x:c r="H54" s="30" t="str">
        <x:f>IF($A54="","",IF($G54="ESGOTADO","Enviar proposta de novo pack",IF($G54="SALDO CRÍTICO","Contactar cliente para renovação",IF($G54="SALDO BAIXO","Acompanhar saldo","Sem ação imediata"))))</x:f>
      </x:c>
    </x:row>
    <x:row r="55">
      <x:c r="A55" s="30" t="str">
        <x:f>IF(Config!A47="","",Config!A47)</x:f>
      </x:c>
      <x:c r="B55" s="34" t="str">
        <x:f>IF($A55="","",SUMIFS(Base_Lancamentos!$H:$H,Base_Lancamentos!$B:$B,$A55))</x:f>
      </x:c>
      <x:c r="C55" s="34" t="str">
        <x:f>IF($A55="","",SUMIFS(Base_Lancamentos!$I:$I,Base_Lancamentos!$B:$B,$A55))</x:f>
      </x:c>
      <x:c r="D55" s="34" t="str">
        <x:f>IF($A55="","",B55-C55)</x:f>
      </x:c>
      <x:c r="E55" s="32" t="str">
        <x:f>IF($A55="","",IFERROR(MAXIFS(Base_Lancamentos!$C:$C,Base_Lancamentos!$B:$B,$A55,Base_Lancamentos!$D:$D,"Intervenção"),""))</x:f>
      </x:c>
      <x:c r="F55" s="60" t="str">
        <x:f>IF($A55="","",COUNTIFS(Base_Lancamentos!$B:$B,$A55,Base_Lancamentos!$D:$D,"Intervenção"))</x:f>
      </x:c>
      <x:c r="G55" s="30" t="str">
        <x:f>IF($A55="","",IF($D55&lt;=0,"ESGOTADO",IF($D55&lt;=Config!$H$2,"SALDO CRÍTICO",IF($D55&lt;=Config!$H$3,"SALDO BAIXO","OK"))))</x:f>
      </x:c>
      <x:c r="H55" s="30" t="str">
        <x:f>IF($A55="","",IF($G55="ESGOTADO","Enviar proposta de novo pack",IF($G55="SALDO CRÍTICO","Contactar cliente para renovação",IF($G55="SALDO BAIXO","Acompanhar saldo","Sem ação imediata"))))</x:f>
      </x:c>
    </x:row>
    <x:row r="56">
      <x:c r="A56" s="30" t="str">
        <x:f>IF(Config!A48="","",Config!A48)</x:f>
      </x:c>
      <x:c r="B56" s="34" t="str">
        <x:f>IF($A56="","",SUMIFS(Base_Lancamentos!$H:$H,Base_Lancamentos!$B:$B,$A56))</x:f>
      </x:c>
      <x:c r="C56" s="34" t="str">
        <x:f>IF($A56="","",SUMIFS(Base_Lancamentos!$I:$I,Base_Lancamentos!$B:$B,$A56))</x:f>
      </x:c>
      <x:c r="D56" s="34" t="str">
        <x:f>IF($A56="","",B56-C56)</x:f>
      </x:c>
      <x:c r="E56" s="32" t="str">
        <x:f>IF($A56="","",IFERROR(MAXIFS(Base_Lancamentos!$C:$C,Base_Lancamentos!$B:$B,$A56,Base_Lancamentos!$D:$D,"Intervenção"),""))</x:f>
      </x:c>
      <x:c r="F56" s="60" t="str">
        <x:f>IF($A56="","",COUNTIFS(Base_Lancamentos!$B:$B,$A56,Base_Lancamentos!$D:$D,"Intervenção"))</x:f>
      </x:c>
      <x:c r="G56" s="30" t="str">
        <x:f>IF($A56="","",IF($D56&lt;=0,"ESGOTADO",IF($D56&lt;=Config!$H$2,"SALDO CRÍTICO",IF($D56&lt;=Config!$H$3,"SALDO BAIXO","OK"))))</x:f>
      </x:c>
      <x:c r="H56" s="30" t="str">
        <x:f>IF($A56="","",IF($G56="ESGOTADO","Enviar proposta de novo pack",IF($G56="SALDO CRÍTICO","Contactar cliente para renovação",IF($G56="SALDO BAIXO","Acompanhar saldo","Sem ação imediata"))))</x:f>
      </x:c>
    </x:row>
    <x:row r="57">
      <x:c r="A57" s="30" t="str">
        <x:f>IF(Config!A49="","",Config!A49)</x:f>
      </x:c>
      <x:c r="B57" s="34" t="str">
        <x:f>IF($A57="","",SUMIFS(Base_Lancamentos!$H:$H,Base_Lancamentos!$B:$B,$A57))</x:f>
      </x:c>
      <x:c r="C57" s="34" t="str">
        <x:f>IF($A57="","",SUMIFS(Base_Lancamentos!$I:$I,Base_Lancamentos!$B:$B,$A57))</x:f>
      </x:c>
      <x:c r="D57" s="34" t="str">
        <x:f>IF($A57="","",B57-C57)</x:f>
      </x:c>
      <x:c r="E57" s="32" t="str">
        <x:f>IF($A57="","",IFERROR(MAXIFS(Base_Lancamentos!$C:$C,Base_Lancamentos!$B:$B,$A57,Base_Lancamentos!$D:$D,"Intervenção"),""))</x:f>
      </x:c>
      <x:c r="F57" s="60" t="str">
        <x:f>IF($A57="","",COUNTIFS(Base_Lancamentos!$B:$B,$A57,Base_Lancamentos!$D:$D,"Intervenção"))</x:f>
      </x:c>
      <x:c r="G57" s="30" t="str">
        <x:f>IF($A57="","",IF($D57&lt;=0,"ESGOTADO",IF($D57&lt;=Config!$H$2,"SALDO CRÍTICO",IF($D57&lt;=Config!$H$3,"SALDO BAIXO","OK"))))</x:f>
      </x:c>
      <x:c r="H57" s="30" t="str">
        <x:f>IF($A57="","",IF($G57="ESGOTADO","Enviar proposta de novo pack",IF($G57="SALDO CRÍTICO","Contactar cliente para renovação",IF($G57="SALDO BAIXO","Acompanhar saldo","Sem ação imediata"))))</x:f>
      </x:c>
    </x:row>
    <x:row r="58">
      <x:c r="A58" s="30" t="str">
        <x:f>IF(Config!A50="","",Config!A50)</x:f>
      </x:c>
      <x:c r="B58" s="34" t="str">
        <x:f>IF($A58="","",SUMIFS(Base_Lancamentos!$H:$H,Base_Lancamentos!$B:$B,$A58))</x:f>
      </x:c>
      <x:c r="C58" s="34" t="str">
        <x:f>IF($A58="","",SUMIFS(Base_Lancamentos!$I:$I,Base_Lancamentos!$B:$B,$A58))</x:f>
      </x:c>
      <x:c r="D58" s="34" t="str">
        <x:f>IF($A58="","",B58-C58)</x:f>
      </x:c>
      <x:c r="E58" s="32" t="str">
        <x:f>IF($A58="","",IFERROR(MAXIFS(Base_Lancamentos!$C:$C,Base_Lancamentos!$B:$B,$A58,Base_Lancamentos!$D:$D,"Intervenção"),""))</x:f>
      </x:c>
      <x:c r="F58" s="60" t="str">
        <x:f>IF($A58="","",COUNTIFS(Base_Lancamentos!$B:$B,$A58,Base_Lancamentos!$D:$D,"Intervenção"))</x:f>
      </x:c>
      <x:c r="G58" s="30" t="str">
        <x:f>IF($A58="","",IF($D58&lt;=0,"ESGOTADO",IF($D58&lt;=Config!$H$2,"SALDO CRÍTICO",IF($D58&lt;=Config!$H$3,"SALDO BAIXO","OK"))))</x:f>
      </x:c>
      <x:c r="H58" s="30" t="str">
        <x:f>IF($A58="","",IF($G58="ESGOTADO","Enviar proposta de novo pack",IF($G58="SALDO CRÍTICO","Contactar cliente para renovação",IF($G58="SALDO BAIXO","Acompanhar saldo","Sem ação imediata"))))</x:f>
      </x:c>
    </x:row>
    <x:row r="59">
      <x:c r="A59" s="30" t="str">
        <x:f>IF(Config!A51="","",Config!A51)</x:f>
      </x:c>
      <x:c r="B59" s="34" t="str">
        <x:f>IF($A59="","",SUMIFS(Base_Lancamentos!$H:$H,Base_Lancamentos!$B:$B,$A59))</x:f>
      </x:c>
      <x:c r="C59" s="34" t="str">
        <x:f>IF($A59="","",SUMIFS(Base_Lancamentos!$I:$I,Base_Lancamentos!$B:$B,$A59))</x:f>
      </x:c>
      <x:c r="D59" s="34" t="str">
        <x:f>IF($A59="","",B59-C59)</x:f>
      </x:c>
      <x:c r="E59" s="32" t="str">
        <x:f>IF($A59="","",IFERROR(MAXIFS(Base_Lancamentos!$C:$C,Base_Lancamentos!$B:$B,$A59,Base_Lancamentos!$D:$D,"Intervenção"),""))</x:f>
      </x:c>
      <x:c r="F59" s="60" t="str">
        <x:f>IF($A59="","",COUNTIFS(Base_Lancamentos!$B:$B,$A59,Base_Lancamentos!$D:$D,"Intervenção"))</x:f>
      </x:c>
      <x:c r="G59" s="30" t="str">
        <x:f>IF($A59="","",IF($D59&lt;=0,"ESGOTADO",IF($D59&lt;=Config!$H$2,"SALDO CRÍTICO",IF($D59&lt;=Config!$H$3,"SALDO BAIXO","OK"))))</x:f>
      </x:c>
      <x:c r="H59" s="30" t="str">
        <x:f>IF($A59="","",IF($G59="ESGOTADO","Enviar proposta de novo pack",IF($G59="SALDO CRÍTICO","Contactar cliente para renovação",IF($G59="SALDO BAIXO","Acompanhar saldo","Sem ação imediata"))))</x:f>
      </x:c>
    </x:row>
    <x:row r="60">
      <x:c r="A60" s="30" t="str">
        <x:f>IF(Config!A52="","",Config!A52)</x:f>
      </x:c>
      <x:c r="B60" s="34" t="str">
        <x:f>IF($A60="","",SUMIFS(Base_Lancamentos!$H:$H,Base_Lancamentos!$B:$B,$A60))</x:f>
      </x:c>
      <x:c r="C60" s="34" t="str">
        <x:f>IF($A60="","",SUMIFS(Base_Lancamentos!$I:$I,Base_Lancamentos!$B:$B,$A60))</x:f>
      </x:c>
      <x:c r="D60" s="34" t="str">
        <x:f>IF($A60="","",B60-C60)</x:f>
      </x:c>
      <x:c r="E60" s="32" t="str">
        <x:f>IF($A60="","",IFERROR(MAXIFS(Base_Lancamentos!$C:$C,Base_Lancamentos!$B:$B,$A60,Base_Lancamentos!$D:$D,"Intervenção"),""))</x:f>
      </x:c>
      <x:c r="F60" s="60" t="str">
        <x:f>IF($A60="","",COUNTIFS(Base_Lancamentos!$B:$B,$A60,Base_Lancamentos!$D:$D,"Intervenção"))</x:f>
      </x:c>
      <x:c r="G60" s="30" t="str">
        <x:f>IF($A60="","",IF($D60&lt;=0,"ESGOTADO",IF($D60&lt;=Config!$H$2,"SALDO CRÍTICO",IF($D60&lt;=Config!$H$3,"SALDO BAIXO","OK"))))</x:f>
      </x:c>
      <x:c r="H60" s="30" t="str">
        <x:f>IF($A60="","",IF($G60="ESGOTADO","Enviar proposta de novo pack",IF($G60="SALDO CRÍTICO","Contactar cliente para renovação",IF($G60="SALDO BAIXO","Acompanhar saldo","Sem ação imediata"))))</x:f>
      </x:c>
    </x:row>
    <x:row r="61">
      <x:c r="A61" s="30" t="str">
        <x:f>IF(Config!A53="","",Config!A53)</x:f>
      </x:c>
      <x:c r="B61" s="34" t="str">
        <x:f>IF($A61="","",SUMIFS(Base_Lancamentos!$H:$H,Base_Lancamentos!$B:$B,$A61))</x:f>
      </x:c>
      <x:c r="C61" s="34" t="str">
        <x:f>IF($A61="","",SUMIFS(Base_Lancamentos!$I:$I,Base_Lancamentos!$B:$B,$A61))</x:f>
      </x:c>
      <x:c r="D61" s="34" t="str">
        <x:f>IF($A61="","",B61-C61)</x:f>
      </x:c>
      <x:c r="E61" s="32" t="str">
        <x:f>IF($A61="","",IFERROR(MAXIFS(Base_Lancamentos!$C:$C,Base_Lancamentos!$B:$B,$A61,Base_Lancamentos!$D:$D,"Intervenção"),""))</x:f>
      </x:c>
      <x:c r="F61" s="60" t="str">
        <x:f>IF($A61="","",COUNTIFS(Base_Lancamentos!$B:$B,$A61,Base_Lancamentos!$D:$D,"Intervenção"))</x:f>
      </x:c>
      <x:c r="G61" s="30" t="str">
        <x:f>IF($A61="","",IF($D61&lt;=0,"ESGOTADO",IF($D61&lt;=Config!$H$2,"SALDO CRÍTICO",IF($D61&lt;=Config!$H$3,"SALDO BAIXO","OK"))))</x:f>
      </x:c>
      <x:c r="H61" s="30" t="str">
        <x:f>IF($A61="","",IF($G61="ESGOTADO","Enviar proposta de novo pack",IF($G61="SALDO CRÍTICO","Contactar cliente para renovação",IF($G61="SALDO BAIXO","Acompanhar saldo","Sem ação imediata"))))</x:f>
      </x:c>
    </x:row>
    <x:row r="62">
      <x:c r="A62" s="30" t="str">
        <x:f>IF(Config!A54="","",Config!A54)</x:f>
      </x:c>
      <x:c r="B62" s="34" t="str">
        <x:f>IF($A62="","",SUMIFS(Base_Lancamentos!$H:$H,Base_Lancamentos!$B:$B,$A62))</x:f>
      </x:c>
      <x:c r="C62" s="34" t="str">
        <x:f>IF($A62="","",SUMIFS(Base_Lancamentos!$I:$I,Base_Lancamentos!$B:$B,$A62))</x:f>
      </x:c>
      <x:c r="D62" s="34" t="str">
        <x:f>IF($A62="","",B62-C62)</x:f>
      </x:c>
      <x:c r="E62" s="32" t="str">
        <x:f>IF($A62="","",IFERROR(MAXIFS(Base_Lancamentos!$C:$C,Base_Lancamentos!$B:$B,$A62,Base_Lancamentos!$D:$D,"Intervenção"),""))</x:f>
      </x:c>
      <x:c r="F62" s="60" t="str">
        <x:f>IF($A62="","",COUNTIFS(Base_Lancamentos!$B:$B,$A62,Base_Lancamentos!$D:$D,"Intervenção"))</x:f>
      </x:c>
      <x:c r="G62" s="30" t="str">
        <x:f>IF($A62="","",IF($D62&lt;=0,"ESGOTADO",IF($D62&lt;=Config!$H$2,"SALDO CRÍTICO",IF($D62&lt;=Config!$H$3,"SALDO BAIXO","OK"))))</x:f>
      </x:c>
      <x:c r="H62" s="30" t="str">
        <x:f>IF($A62="","",IF($G62="ESGOTADO","Enviar proposta de novo pack",IF($G62="SALDO CRÍTICO","Contactar cliente para renovação",IF($G62="SALDO BAIXO","Acompanhar saldo","Sem ação imediata"))))</x:f>
      </x:c>
    </x:row>
    <x:row r="63">
      <x:c r="A63" s="30" t="str">
        <x:f>IF(Config!A55="","",Config!A55)</x:f>
      </x:c>
      <x:c r="B63" s="34" t="str">
        <x:f>IF($A63="","",SUMIFS(Base_Lancamentos!$H:$H,Base_Lancamentos!$B:$B,$A63))</x:f>
      </x:c>
      <x:c r="C63" s="34" t="str">
        <x:f>IF($A63="","",SUMIFS(Base_Lancamentos!$I:$I,Base_Lancamentos!$B:$B,$A63))</x:f>
      </x:c>
      <x:c r="D63" s="34" t="str">
        <x:f>IF($A63="","",B63-C63)</x:f>
      </x:c>
      <x:c r="E63" s="32" t="str">
        <x:f>IF($A63="","",IFERROR(MAXIFS(Base_Lancamentos!$C:$C,Base_Lancamentos!$B:$B,$A63,Base_Lancamentos!$D:$D,"Intervenção"),""))</x:f>
      </x:c>
      <x:c r="F63" s="60" t="str">
        <x:f>IF($A63="","",COUNTIFS(Base_Lancamentos!$B:$B,$A63,Base_Lancamentos!$D:$D,"Intervenção"))</x:f>
      </x:c>
      <x:c r="G63" s="30" t="str">
        <x:f>IF($A63="","",IF($D63&lt;=0,"ESGOTADO",IF($D63&lt;=Config!$H$2,"SALDO CRÍTICO",IF($D63&lt;=Config!$H$3,"SALDO BAIXO","OK"))))</x:f>
      </x:c>
      <x:c r="H63" s="30" t="str">
        <x:f>IF($A63="","",IF($G63="ESGOTADO","Enviar proposta de novo pack",IF($G63="SALDO CRÍTICO","Contactar cliente para renovação",IF($G63="SALDO BAIXO","Acompanhar saldo","Sem ação imediata"))))</x:f>
      </x:c>
    </x:row>
    <x:row r="64">
      <x:c r="A64" s="30" t="str">
        <x:f>IF(Config!A56="","",Config!A56)</x:f>
      </x:c>
      <x:c r="B64" s="34" t="str">
        <x:f>IF($A64="","",SUMIFS(Base_Lancamentos!$H:$H,Base_Lancamentos!$B:$B,$A64))</x:f>
      </x:c>
      <x:c r="C64" s="34" t="str">
        <x:f>IF($A64="","",SUMIFS(Base_Lancamentos!$I:$I,Base_Lancamentos!$B:$B,$A64))</x:f>
      </x:c>
      <x:c r="D64" s="34" t="str">
        <x:f>IF($A64="","",B64-C64)</x:f>
      </x:c>
      <x:c r="E64" s="32" t="str">
        <x:f>IF($A64="","",IFERROR(MAXIFS(Base_Lancamentos!$C:$C,Base_Lancamentos!$B:$B,$A64,Base_Lancamentos!$D:$D,"Intervenção"),""))</x:f>
      </x:c>
      <x:c r="F64" s="60" t="str">
        <x:f>IF($A64="","",COUNTIFS(Base_Lancamentos!$B:$B,$A64,Base_Lancamentos!$D:$D,"Intervenção"))</x:f>
      </x:c>
      <x:c r="G64" s="30" t="str">
        <x:f>IF($A64="","",IF($D64&lt;=0,"ESGOTADO",IF($D64&lt;=Config!$H$2,"SALDO CRÍTICO",IF($D64&lt;=Config!$H$3,"SALDO BAIXO","OK"))))</x:f>
      </x:c>
      <x:c r="H64" s="30" t="str">
        <x:f>IF($A64="","",IF($G64="ESGOTADO","Enviar proposta de novo pack",IF($G64="SALDO CRÍTICO","Contactar cliente para renovação",IF($G64="SALDO BAIXO","Acompanhar saldo","Sem ação imediata"))))</x:f>
      </x:c>
    </x:row>
    <x:row r="65">
      <x:c r="A65" s="30" t="str">
        <x:f>IF(Config!A57="","",Config!A57)</x:f>
      </x:c>
      <x:c r="B65" s="34" t="str">
        <x:f>IF($A65="","",SUMIFS(Base_Lancamentos!$H:$H,Base_Lancamentos!$B:$B,$A65))</x:f>
      </x:c>
      <x:c r="C65" s="34" t="str">
        <x:f>IF($A65="","",SUMIFS(Base_Lancamentos!$I:$I,Base_Lancamentos!$B:$B,$A65))</x:f>
      </x:c>
      <x:c r="D65" s="34" t="str">
        <x:f>IF($A65="","",B65-C65)</x:f>
      </x:c>
      <x:c r="E65" s="32" t="str">
        <x:f>IF($A65="","",IFERROR(MAXIFS(Base_Lancamentos!$C:$C,Base_Lancamentos!$B:$B,$A65,Base_Lancamentos!$D:$D,"Intervenção"),""))</x:f>
      </x:c>
      <x:c r="F65" s="60" t="str">
        <x:f>IF($A65="","",COUNTIFS(Base_Lancamentos!$B:$B,$A65,Base_Lancamentos!$D:$D,"Intervenção"))</x:f>
      </x:c>
      <x:c r="G65" s="30" t="str">
        <x:f>IF($A65="","",IF($D65&lt;=0,"ESGOTADO",IF($D65&lt;=Config!$H$2,"SALDO CRÍTICO",IF($D65&lt;=Config!$H$3,"SALDO BAIXO","OK"))))</x:f>
      </x:c>
      <x:c r="H65" s="30" t="str">
        <x:f>IF($A65="","",IF($G65="ESGOTADO","Enviar proposta de novo pack",IF($G65="SALDO CRÍTICO","Contactar cliente para renovação",IF($G65="SALDO BAIXO","Acompanhar saldo","Sem ação imediata"))))</x:f>
      </x:c>
    </x:row>
    <x:row r="66">
      <x:c r="A66" s="30" t="str">
        <x:f>IF(Config!A58="","",Config!A58)</x:f>
      </x:c>
      <x:c r="B66" s="34" t="str">
        <x:f>IF($A66="","",SUMIFS(Base_Lancamentos!$H:$H,Base_Lancamentos!$B:$B,$A66))</x:f>
      </x:c>
      <x:c r="C66" s="34" t="str">
        <x:f>IF($A66="","",SUMIFS(Base_Lancamentos!$I:$I,Base_Lancamentos!$B:$B,$A66))</x:f>
      </x:c>
      <x:c r="D66" s="34" t="str">
        <x:f>IF($A66="","",B66-C66)</x:f>
      </x:c>
      <x:c r="E66" s="32" t="str">
        <x:f>IF($A66="","",IFERROR(MAXIFS(Base_Lancamentos!$C:$C,Base_Lancamentos!$B:$B,$A66,Base_Lancamentos!$D:$D,"Intervenção"),""))</x:f>
      </x:c>
      <x:c r="F66" s="60" t="str">
        <x:f>IF($A66="","",COUNTIFS(Base_Lancamentos!$B:$B,$A66,Base_Lancamentos!$D:$D,"Intervenção"))</x:f>
      </x:c>
      <x:c r="G66" s="30" t="str">
        <x:f>IF($A66="","",IF($D66&lt;=0,"ESGOTADO",IF($D66&lt;=Config!$H$2,"SALDO CRÍTICO",IF($D66&lt;=Config!$H$3,"SALDO BAIXO","OK"))))</x:f>
      </x:c>
      <x:c r="H66" s="30" t="str">
        <x:f>IF($A66="","",IF($G66="ESGOTADO","Enviar proposta de novo pack",IF($G66="SALDO CRÍTICO","Contactar cliente para renovação",IF($G66="SALDO BAIXO","Acompanhar saldo","Sem ação imediata"))))</x:f>
      </x:c>
    </x:row>
    <x:row r="67">
      <x:c r="A67" s="30" t="str">
        <x:f>IF(Config!A59="","",Config!A59)</x:f>
      </x:c>
      <x:c r="B67" s="34" t="str">
        <x:f>IF($A67="","",SUMIFS(Base_Lancamentos!$H:$H,Base_Lancamentos!$B:$B,$A67))</x:f>
      </x:c>
      <x:c r="C67" s="34" t="str">
        <x:f>IF($A67="","",SUMIFS(Base_Lancamentos!$I:$I,Base_Lancamentos!$B:$B,$A67))</x:f>
      </x:c>
      <x:c r="D67" s="34" t="str">
        <x:f>IF($A67="","",B67-C67)</x:f>
      </x:c>
      <x:c r="E67" s="32" t="str">
        <x:f>IF($A67="","",IFERROR(MAXIFS(Base_Lancamentos!$C:$C,Base_Lancamentos!$B:$B,$A67,Base_Lancamentos!$D:$D,"Intervenção"),""))</x:f>
      </x:c>
      <x:c r="F67" s="60" t="str">
        <x:f>IF($A67="","",COUNTIFS(Base_Lancamentos!$B:$B,$A67,Base_Lancamentos!$D:$D,"Intervenção"))</x:f>
      </x:c>
      <x:c r="G67" s="30" t="str">
        <x:f>IF($A67="","",IF($D67&lt;=0,"ESGOTADO",IF($D67&lt;=Config!$H$2,"SALDO CRÍTICO",IF($D67&lt;=Config!$H$3,"SALDO BAIXO","OK"))))</x:f>
      </x:c>
      <x:c r="H67" s="30" t="str">
        <x:f>IF($A67="","",IF($G67="ESGOTADO","Enviar proposta de novo pack",IF($G67="SALDO CRÍTICO","Contactar cliente para renovação",IF($G67="SALDO BAIXO","Acompanhar saldo","Sem ação imediata"))))</x:f>
      </x:c>
    </x:row>
    <x:row r="68">
      <x:c r="A68" s="30" t="str">
        <x:f>IF(Config!A60="","",Config!A60)</x:f>
      </x:c>
      <x:c r="B68" s="34" t="str">
        <x:f>IF($A68="","",SUMIFS(Base_Lancamentos!$H:$H,Base_Lancamentos!$B:$B,$A68))</x:f>
      </x:c>
      <x:c r="C68" s="34" t="str">
        <x:f>IF($A68="","",SUMIFS(Base_Lancamentos!$I:$I,Base_Lancamentos!$B:$B,$A68))</x:f>
      </x:c>
      <x:c r="D68" s="34" t="str">
        <x:f>IF($A68="","",B68-C68)</x:f>
      </x:c>
      <x:c r="E68" s="32" t="str">
        <x:f>IF($A68="","",IFERROR(MAXIFS(Base_Lancamentos!$C:$C,Base_Lancamentos!$B:$B,$A68,Base_Lancamentos!$D:$D,"Intervenção"),""))</x:f>
      </x:c>
      <x:c r="F68" s="60" t="str">
        <x:f>IF($A68="","",COUNTIFS(Base_Lancamentos!$B:$B,$A68,Base_Lancamentos!$D:$D,"Intervenção"))</x:f>
      </x:c>
      <x:c r="G68" s="30" t="str">
        <x:f>IF($A68="","",IF($D68&lt;=0,"ESGOTADO",IF($D68&lt;=Config!$H$2,"SALDO CRÍTICO",IF($D68&lt;=Config!$H$3,"SALDO BAIXO","OK"))))</x:f>
      </x:c>
      <x:c r="H68" s="30" t="str">
        <x:f>IF($A68="","",IF($G68="ESGOTADO","Enviar proposta de novo pack",IF($G68="SALDO CRÍTICO","Contactar cliente para renovação",IF($G68="SALDO BAIXO","Acompanhar saldo","Sem ação imediata"))))</x:f>
      </x:c>
    </x:row>
    <x:row r="69">
      <x:c r="A69" s="30" t="str">
        <x:f>IF(Config!A61="","",Config!A61)</x:f>
      </x:c>
      <x:c r="B69" s="34" t="str">
        <x:f>IF($A69="","",SUMIFS(Base_Lancamentos!$H:$H,Base_Lancamentos!$B:$B,$A69))</x:f>
      </x:c>
      <x:c r="C69" s="34" t="str">
        <x:f>IF($A69="","",SUMIFS(Base_Lancamentos!$I:$I,Base_Lancamentos!$B:$B,$A69))</x:f>
      </x:c>
      <x:c r="D69" s="34" t="str">
        <x:f>IF($A69="","",B69-C69)</x:f>
      </x:c>
      <x:c r="E69" s="32" t="str">
        <x:f>IF($A69="","",IFERROR(MAXIFS(Base_Lancamentos!$C:$C,Base_Lancamentos!$B:$B,$A69,Base_Lancamentos!$D:$D,"Intervenção"),""))</x:f>
      </x:c>
      <x:c r="F69" s="60" t="str">
        <x:f>IF($A69="","",COUNTIFS(Base_Lancamentos!$B:$B,$A69,Base_Lancamentos!$D:$D,"Intervenção"))</x:f>
      </x:c>
      <x:c r="G69" s="30" t="str">
        <x:f>IF($A69="","",IF($D69&lt;=0,"ESGOTADO",IF($D69&lt;=Config!$H$2,"SALDO CRÍTICO",IF($D69&lt;=Config!$H$3,"SALDO BAIXO","OK"))))</x:f>
      </x:c>
      <x:c r="H69" s="30" t="str">
        <x:f>IF($A69="","",IF($G69="ESGOTADO","Enviar proposta de novo pack",IF($G69="SALDO CRÍTICO","Contactar cliente para renovação",IF($G69="SALDO BAIXO","Acompanhar saldo","Sem ação imediata"))))</x:f>
      </x:c>
    </x:row>
    <x:row r="70">
      <x:c r="A70" s="30" t="str">
        <x:f>IF(Config!A62="","",Config!A62)</x:f>
      </x:c>
      <x:c r="B70" s="34" t="str">
        <x:f>IF($A70="","",SUMIFS(Base_Lancamentos!$H:$H,Base_Lancamentos!$B:$B,$A70))</x:f>
      </x:c>
      <x:c r="C70" s="34" t="str">
        <x:f>IF($A70="","",SUMIFS(Base_Lancamentos!$I:$I,Base_Lancamentos!$B:$B,$A70))</x:f>
      </x:c>
      <x:c r="D70" s="34" t="str">
        <x:f>IF($A70="","",B70-C70)</x:f>
      </x:c>
      <x:c r="E70" s="32" t="str">
        <x:f>IF($A70="","",IFERROR(MAXIFS(Base_Lancamentos!$C:$C,Base_Lancamentos!$B:$B,$A70,Base_Lancamentos!$D:$D,"Intervenção"),""))</x:f>
      </x:c>
      <x:c r="F70" s="60" t="str">
        <x:f>IF($A70="","",COUNTIFS(Base_Lancamentos!$B:$B,$A70,Base_Lancamentos!$D:$D,"Intervenção"))</x:f>
      </x:c>
      <x:c r="G70" s="30" t="str">
        <x:f>IF($A70="","",IF($D70&lt;=0,"ESGOTADO",IF($D70&lt;=Config!$H$2,"SALDO CRÍTICO",IF($D70&lt;=Config!$H$3,"SALDO BAIXO","OK"))))</x:f>
      </x:c>
      <x:c r="H70" s="30" t="str">
        <x:f>IF($A70="","",IF($G70="ESGOTADO","Enviar proposta de novo pack",IF($G70="SALDO CRÍTICO","Contactar cliente para renovação",IF($G70="SALDO BAIXO","Acompanhar saldo","Sem ação imediata"))))</x:f>
      </x:c>
    </x:row>
    <x:row r="71">
      <x:c r="A71" s="30" t="str">
        <x:f>IF(Config!A63="","",Config!A63)</x:f>
      </x:c>
      <x:c r="B71" s="34" t="str">
        <x:f>IF($A71="","",SUMIFS(Base_Lancamentos!$H:$H,Base_Lancamentos!$B:$B,$A71))</x:f>
      </x:c>
      <x:c r="C71" s="34" t="str">
        <x:f>IF($A71="","",SUMIFS(Base_Lancamentos!$I:$I,Base_Lancamentos!$B:$B,$A71))</x:f>
      </x:c>
      <x:c r="D71" s="34" t="str">
        <x:f>IF($A71="","",B71-C71)</x:f>
      </x:c>
      <x:c r="E71" s="32" t="str">
        <x:f>IF($A71="","",IFERROR(MAXIFS(Base_Lancamentos!$C:$C,Base_Lancamentos!$B:$B,$A71,Base_Lancamentos!$D:$D,"Intervenção"),""))</x:f>
      </x:c>
      <x:c r="F71" s="60" t="str">
        <x:f>IF($A71="","",COUNTIFS(Base_Lancamentos!$B:$B,$A71,Base_Lancamentos!$D:$D,"Intervenção"))</x:f>
      </x:c>
      <x:c r="G71" s="30" t="str">
        <x:f>IF($A71="","",IF($D71&lt;=0,"ESGOTADO",IF($D71&lt;=Config!$H$2,"SALDO CRÍTICO",IF($D71&lt;=Config!$H$3,"SALDO BAIXO","OK"))))</x:f>
      </x:c>
      <x:c r="H71" s="30" t="str">
        <x:f>IF($A71="","",IF($G71="ESGOTADO","Enviar proposta de novo pack",IF($G71="SALDO CRÍTICO","Contactar cliente para renovação",IF($G71="SALDO BAIXO","Acompanhar saldo","Sem ação imediata"))))</x:f>
      </x:c>
    </x:row>
    <x:row r="72">
      <x:c r="A72" s="30" t="str">
        <x:f>IF(Config!A64="","",Config!A64)</x:f>
      </x:c>
      <x:c r="B72" s="34" t="str">
        <x:f>IF($A72="","",SUMIFS(Base_Lancamentos!$H:$H,Base_Lancamentos!$B:$B,$A72))</x:f>
      </x:c>
      <x:c r="C72" s="34" t="str">
        <x:f>IF($A72="","",SUMIFS(Base_Lancamentos!$I:$I,Base_Lancamentos!$B:$B,$A72))</x:f>
      </x:c>
      <x:c r="D72" s="34" t="str">
        <x:f>IF($A72="","",B72-C72)</x:f>
      </x:c>
      <x:c r="E72" s="32" t="str">
        <x:f>IF($A72="","",IFERROR(MAXIFS(Base_Lancamentos!$C:$C,Base_Lancamentos!$B:$B,$A72,Base_Lancamentos!$D:$D,"Intervenção"),""))</x:f>
      </x:c>
      <x:c r="F72" s="60" t="str">
        <x:f>IF($A72="","",COUNTIFS(Base_Lancamentos!$B:$B,$A72,Base_Lancamentos!$D:$D,"Intervenção"))</x:f>
      </x:c>
      <x:c r="G72" s="30" t="str">
        <x:f>IF($A72="","",IF($D72&lt;=0,"ESGOTADO",IF($D72&lt;=Config!$H$2,"SALDO CRÍTICO",IF($D72&lt;=Config!$H$3,"SALDO BAIXO","OK"))))</x:f>
      </x:c>
      <x:c r="H72" s="30" t="str">
        <x:f>IF($A72="","",IF($G72="ESGOTADO","Enviar proposta de novo pack",IF($G72="SALDO CRÍTICO","Contactar cliente para renovação",IF($G72="SALDO BAIXO","Acompanhar saldo","Sem ação imediata"))))</x:f>
      </x:c>
    </x:row>
    <x:row r="73">
      <x:c r="A73" s="30" t="str">
        <x:f>IF(Config!A65="","",Config!A65)</x:f>
      </x:c>
      <x:c r="B73" s="34" t="str">
        <x:f>IF($A73="","",SUMIFS(Base_Lancamentos!$H:$H,Base_Lancamentos!$B:$B,$A73))</x:f>
      </x:c>
      <x:c r="C73" s="34" t="str">
        <x:f>IF($A73="","",SUMIFS(Base_Lancamentos!$I:$I,Base_Lancamentos!$B:$B,$A73))</x:f>
      </x:c>
      <x:c r="D73" s="34" t="str">
        <x:f>IF($A73="","",B73-C73)</x:f>
      </x:c>
      <x:c r="E73" s="32" t="str">
        <x:f>IF($A73="","",IFERROR(MAXIFS(Base_Lancamentos!$C:$C,Base_Lancamentos!$B:$B,$A73,Base_Lancamentos!$D:$D,"Intervenção"),""))</x:f>
      </x:c>
      <x:c r="F73" s="60" t="str">
        <x:f>IF($A73="","",COUNTIFS(Base_Lancamentos!$B:$B,$A73,Base_Lancamentos!$D:$D,"Intervenção"))</x:f>
      </x:c>
      <x:c r="G73" s="30" t="str">
        <x:f>IF($A73="","",IF($D73&lt;=0,"ESGOTADO",IF($D73&lt;=Config!$H$2,"SALDO CRÍTICO",IF($D73&lt;=Config!$H$3,"SALDO BAIXO","OK"))))</x:f>
      </x:c>
      <x:c r="H73" s="30" t="str">
        <x:f>IF($A73="","",IF($G73="ESGOTADO","Enviar proposta de novo pack",IF($G73="SALDO CRÍTICO","Contactar cliente para renovação",IF($G73="SALDO BAIXO","Acompanhar saldo","Sem ação imediata"))))</x:f>
      </x:c>
    </x:row>
    <x:row r="74">
      <x:c r="A74" s="30" t="str">
        <x:f>IF(Config!A66="","",Config!A66)</x:f>
      </x:c>
      <x:c r="B74" s="34" t="str">
        <x:f>IF($A74="","",SUMIFS(Base_Lancamentos!$H:$H,Base_Lancamentos!$B:$B,$A74))</x:f>
      </x:c>
      <x:c r="C74" s="34" t="str">
        <x:f>IF($A74="","",SUMIFS(Base_Lancamentos!$I:$I,Base_Lancamentos!$B:$B,$A74))</x:f>
      </x:c>
      <x:c r="D74" s="34" t="str">
        <x:f>IF($A74="","",B74-C74)</x:f>
      </x:c>
      <x:c r="E74" s="32" t="str">
        <x:f>IF($A74="","",IFERROR(MAXIFS(Base_Lancamentos!$C:$C,Base_Lancamentos!$B:$B,$A74,Base_Lancamentos!$D:$D,"Intervenção"),""))</x:f>
      </x:c>
      <x:c r="F74" s="60" t="str">
        <x:f>IF($A74="","",COUNTIFS(Base_Lancamentos!$B:$B,$A74,Base_Lancamentos!$D:$D,"Intervenção"))</x:f>
      </x:c>
      <x:c r="G74" s="30" t="str">
        <x:f>IF($A74="","",IF($D74&lt;=0,"ESGOTADO",IF($D74&lt;=Config!$H$2,"SALDO CRÍTICO",IF($D74&lt;=Config!$H$3,"SALDO BAIXO","OK"))))</x:f>
      </x:c>
      <x:c r="H74" s="30" t="str">
        <x:f>IF($A74="","",IF($G74="ESGOTADO","Enviar proposta de novo pack",IF($G74="SALDO CRÍTICO","Contactar cliente para renovação",IF($G74="SALDO BAIXO","Acompanhar saldo","Sem ação imediata"))))</x:f>
      </x:c>
    </x:row>
    <x:row r="75">
      <x:c r="A75" s="30" t="str">
        <x:f>IF(Config!A67="","",Config!A67)</x:f>
      </x:c>
      <x:c r="B75" s="34" t="str">
        <x:f>IF($A75="","",SUMIFS(Base_Lancamentos!$H:$H,Base_Lancamentos!$B:$B,$A75))</x:f>
      </x:c>
      <x:c r="C75" s="34" t="str">
        <x:f>IF($A75="","",SUMIFS(Base_Lancamentos!$I:$I,Base_Lancamentos!$B:$B,$A75))</x:f>
      </x:c>
      <x:c r="D75" s="34" t="str">
        <x:f>IF($A75="","",B75-C75)</x:f>
      </x:c>
      <x:c r="E75" s="32" t="str">
        <x:f>IF($A75="","",IFERROR(MAXIFS(Base_Lancamentos!$C:$C,Base_Lancamentos!$B:$B,$A75,Base_Lancamentos!$D:$D,"Intervenção"),""))</x:f>
      </x:c>
      <x:c r="F75" s="60" t="str">
        <x:f>IF($A75="","",COUNTIFS(Base_Lancamentos!$B:$B,$A75,Base_Lancamentos!$D:$D,"Intervenção"))</x:f>
      </x:c>
      <x:c r="G75" s="30" t="str">
        <x:f>IF($A75="","",IF($D75&lt;=0,"ESGOTADO",IF($D75&lt;=Config!$H$2,"SALDO CRÍTICO",IF($D75&lt;=Config!$H$3,"SALDO BAIXO","OK"))))</x:f>
      </x:c>
      <x:c r="H75" s="30" t="str">
        <x:f>IF($A75="","",IF($G75="ESGOTADO","Enviar proposta de novo pack",IF($G75="SALDO CRÍTICO","Contactar cliente para renovação",IF($G75="SALDO BAIXO","Acompanhar saldo","Sem ação imediata"))))</x:f>
      </x:c>
    </x:row>
    <x:row r="76">
      <x:c r="A76" s="30" t="str">
        <x:f>IF(Config!A68="","",Config!A68)</x:f>
      </x:c>
      <x:c r="B76" s="34" t="str">
        <x:f>IF($A76="","",SUMIFS(Base_Lancamentos!$H:$H,Base_Lancamentos!$B:$B,$A76))</x:f>
      </x:c>
      <x:c r="C76" s="34" t="str">
        <x:f>IF($A76="","",SUMIFS(Base_Lancamentos!$I:$I,Base_Lancamentos!$B:$B,$A76))</x:f>
      </x:c>
      <x:c r="D76" s="34" t="str">
        <x:f>IF($A76="","",B76-C76)</x:f>
      </x:c>
      <x:c r="E76" s="32" t="str">
        <x:f>IF($A76="","",IFERROR(MAXIFS(Base_Lancamentos!$C:$C,Base_Lancamentos!$B:$B,$A76,Base_Lancamentos!$D:$D,"Intervenção"),""))</x:f>
      </x:c>
      <x:c r="F76" s="60" t="str">
        <x:f>IF($A76="","",COUNTIFS(Base_Lancamentos!$B:$B,$A76,Base_Lancamentos!$D:$D,"Intervenção"))</x:f>
      </x:c>
      <x:c r="G76" s="30" t="str">
        <x:f>IF($A76="","",IF($D76&lt;=0,"ESGOTADO",IF($D76&lt;=Config!$H$2,"SALDO CRÍTICO",IF($D76&lt;=Config!$H$3,"SALDO BAIXO","OK"))))</x:f>
      </x:c>
      <x:c r="H76" s="30" t="str">
        <x:f>IF($A76="","",IF($G76="ESGOTADO","Enviar proposta de novo pack",IF($G76="SALDO CRÍTICO","Contactar cliente para renovação",IF($G76="SALDO BAIXO","Acompanhar saldo","Sem ação imediata"))))</x:f>
      </x:c>
    </x:row>
    <x:row r="77">
      <x:c r="A77" s="30" t="str">
        <x:f>IF(Config!A69="","",Config!A69)</x:f>
      </x:c>
      <x:c r="B77" s="34" t="str">
        <x:f>IF($A77="","",SUMIFS(Base_Lancamentos!$H:$H,Base_Lancamentos!$B:$B,$A77))</x:f>
      </x:c>
      <x:c r="C77" s="34" t="str">
        <x:f>IF($A77="","",SUMIFS(Base_Lancamentos!$I:$I,Base_Lancamentos!$B:$B,$A77))</x:f>
      </x:c>
      <x:c r="D77" s="34" t="str">
        <x:f>IF($A77="","",B77-C77)</x:f>
      </x:c>
      <x:c r="E77" s="32" t="str">
        <x:f>IF($A77="","",IFERROR(MAXIFS(Base_Lancamentos!$C:$C,Base_Lancamentos!$B:$B,$A77,Base_Lancamentos!$D:$D,"Intervenção"),""))</x:f>
      </x:c>
      <x:c r="F77" s="60" t="str">
        <x:f>IF($A77="","",COUNTIFS(Base_Lancamentos!$B:$B,$A77,Base_Lancamentos!$D:$D,"Intervenção"))</x:f>
      </x:c>
      <x:c r="G77" s="30" t="str">
        <x:f>IF($A77="","",IF($D77&lt;=0,"ESGOTADO",IF($D77&lt;=Config!$H$2,"SALDO CRÍTICO",IF($D77&lt;=Config!$H$3,"SALDO BAIXO","OK"))))</x:f>
      </x:c>
      <x:c r="H77" s="30" t="str">
        <x:f>IF($A77="","",IF($G77="ESGOTADO","Enviar proposta de novo pack",IF($G77="SALDO CRÍTICO","Contactar cliente para renovação",IF($G77="SALDO BAIXO","Acompanhar saldo","Sem ação imediata"))))</x:f>
      </x:c>
    </x:row>
    <x:row r="78">
      <x:c r="A78" s="30" t="str">
        <x:f>IF(Config!A70="","",Config!A70)</x:f>
      </x:c>
      <x:c r="B78" s="34" t="str">
        <x:f>IF($A78="","",SUMIFS(Base_Lancamentos!$H:$H,Base_Lancamentos!$B:$B,$A78))</x:f>
      </x:c>
      <x:c r="C78" s="34" t="str">
        <x:f>IF($A78="","",SUMIFS(Base_Lancamentos!$I:$I,Base_Lancamentos!$B:$B,$A78))</x:f>
      </x:c>
      <x:c r="D78" s="34" t="str">
        <x:f>IF($A78="","",B78-C78)</x:f>
      </x:c>
      <x:c r="E78" s="32" t="str">
        <x:f>IF($A78="","",IFERROR(MAXIFS(Base_Lancamentos!$C:$C,Base_Lancamentos!$B:$B,$A78,Base_Lancamentos!$D:$D,"Intervenção"),""))</x:f>
      </x:c>
      <x:c r="F78" s="60" t="str">
        <x:f>IF($A78="","",COUNTIFS(Base_Lancamentos!$B:$B,$A78,Base_Lancamentos!$D:$D,"Intervenção"))</x:f>
      </x:c>
      <x:c r="G78" s="30" t="str">
        <x:f>IF($A78="","",IF($D78&lt;=0,"ESGOTADO",IF($D78&lt;=Config!$H$2,"SALDO CRÍTICO",IF($D78&lt;=Config!$H$3,"SALDO BAIXO","OK"))))</x:f>
      </x:c>
      <x:c r="H78" s="30" t="str">
        <x:f>IF($A78="","",IF($G78="ESGOTADO","Enviar proposta de novo pack",IF($G78="SALDO CRÍTICO","Contactar cliente para renovação",IF($G78="SALDO BAIXO","Acompanhar saldo","Sem ação imediata"))))</x:f>
      </x:c>
    </x:row>
    <x:row r="79">
      <x:c r="A79" s="30" t="str">
        <x:f>IF(Config!A71="","",Config!A71)</x:f>
      </x:c>
      <x:c r="B79" s="34" t="str">
        <x:f>IF($A79="","",SUMIFS(Base_Lancamentos!$H:$H,Base_Lancamentos!$B:$B,$A79))</x:f>
      </x:c>
      <x:c r="C79" s="34" t="str">
        <x:f>IF($A79="","",SUMIFS(Base_Lancamentos!$I:$I,Base_Lancamentos!$B:$B,$A79))</x:f>
      </x:c>
      <x:c r="D79" s="34" t="str">
        <x:f>IF($A79="","",B79-C79)</x:f>
      </x:c>
      <x:c r="E79" s="32" t="str">
        <x:f>IF($A79="","",IFERROR(MAXIFS(Base_Lancamentos!$C:$C,Base_Lancamentos!$B:$B,$A79,Base_Lancamentos!$D:$D,"Intervenção"),""))</x:f>
      </x:c>
      <x:c r="F79" s="60" t="str">
        <x:f>IF($A79="","",COUNTIFS(Base_Lancamentos!$B:$B,$A79,Base_Lancamentos!$D:$D,"Intervenção"))</x:f>
      </x:c>
      <x:c r="G79" s="30" t="str">
        <x:f>IF($A79="","",IF($D79&lt;=0,"ESGOTADO",IF($D79&lt;=Config!$H$2,"SALDO CRÍTICO",IF($D79&lt;=Config!$H$3,"SALDO BAIXO","OK"))))</x:f>
      </x:c>
      <x:c r="H79" s="30" t="str">
        <x:f>IF($A79="","",IF($G79="ESGOTADO","Enviar proposta de novo pack",IF($G79="SALDO CRÍTICO","Contactar cliente para renovação",IF($G79="SALDO BAIXO","Acompanhar saldo","Sem ação imediata"))))</x:f>
      </x:c>
    </x:row>
    <x:row r="80">
      <x:c r="A80" s="30" t="str">
        <x:f>IF(Config!A72="","",Config!A72)</x:f>
      </x:c>
      <x:c r="B80" s="34" t="str">
        <x:f>IF($A80="","",SUMIFS(Base_Lancamentos!$H:$H,Base_Lancamentos!$B:$B,$A80))</x:f>
      </x:c>
      <x:c r="C80" s="34" t="str">
        <x:f>IF($A80="","",SUMIFS(Base_Lancamentos!$I:$I,Base_Lancamentos!$B:$B,$A80))</x:f>
      </x:c>
      <x:c r="D80" s="34" t="str">
        <x:f>IF($A80="","",B80-C80)</x:f>
      </x:c>
      <x:c r="E80" s="32" t="str">
        <x:f>IF($A80="","",IFERROR(MAXIFS(Base_Lancamentos!$C:$C,Base_Lancamentos!$B:$B,$A80,Base_Lancamentos!$D:$D,"Intervenção"),""))</x:f>
      </x:c>
      <x:c r="F80" s="60" t="str">
        <x:f>IF($A80="","",COUNTIFS(Base_Lancamentos!$B:$B,$A80,Base_Lancamentos!$D:$D,"Intervenção"))</x:f>
      </x:c>
      <x:c r="G80" s="30" t="str">
        <x:f>IF($A80="","",IF($D80&lt;=0,"ESGOTADO",IF($D80&lt;=Config!$H$2,"SALDO CRÍTICO",IF($D80&lt;=Config!$H$3,"SALDO BAIXO","OK"))))</x:f>
      </x:c>
      <x:c r="H80" s="30" t="str">
        <x:f>IF($A80="","",IF($G80="ESGOTADO","Enviar proposta de novo pack",IF($G80="SALDO CRÍTICO","Contactar cliente para renovação",IF($G80="SALDO BAIXO","Acompanhar saldo","Sem ação imediata"))))</x:f>
      </x:c>
    </x:row>
    <x:row r="81">
      <x:c r="A81" s="30" t="str">
        <x:f>IF(Config!A73="","",Config!A73)</x:f>
      </x:c>
      <x:c r="B81" s="34" t="str">
        <x:f>IF($A81="","",SUMIFS(Base_Lancamentos!$H:$H,Base_Lancamentos!$B:$B,$A81))</x:f>
      </x:c>
      <x:c r="C81" s="34" t="str">
        <x:f>IF($A81="","",SUMIFS(Base_Lancamentos!$I:$I,Base_Lancamentos!$B:$B,$A81))</x:f>
      </x:c>
      <x:c r="D81" s="34" t="str">
        <x:f>IF($A81="","",B81-C81)</x:f>
      </x:c>
      <x:c r="E81" s="32" t="str">
        <x:f>IF($A81="","",IFERROR(MAXIFS(Base_Lancamentos!$C:$C,Base_Lancamentos!$B:$B,$A81,Base_Lancamentos!$D:$D,"Intervenção"),""))</x:f>
      </x:c>
      <x:c r="F81" s="60" t="str">
        <x:f>IF($A81="","",COUNTIFS(Base_Lancamentos!$B:$B,$A81,Base_Lancamentos!$D:$D,"Intervenção"))</x:f>
      </x:c>
      <x:c r="G81" s="30" t="str">
        <x:f>IF($A81="","",IF($D81&lt;=0,"ESGOTADO",IF($D81&lt;=Config!$H$2,"SALDO CRÍTICO",IF($D81&lt;=Config!$H$3,"SALDO BAIXO","OK"))))</x:f>
      </x:c>
      <x:c r="H81" s="30" t="str">
        <x:f>IF($A81="","",IF($G81="ESGOTADO","Enviar proposta de novo pack",IF($G81="SALDO CRÍTICO","Contactar cliente para renovação",IF($G81="SALDO BAIXO","Acompanhar saldo","Sem ação imediata"))))</x:f>
      </x:c>
    </x:row>
    <x:row r="82">
      <x:c r="A82" s="30" t="str">
        <x:f>IF(Config!A74="","",Config!A74)</x:f>
      </x:c>
      <x:c r="B82" s="34" t="str">
        <x:f>IF($A82="","",SUMIFS(Base_Lancamentos!$H:$H,Base_Lancamentos!$B:$B,$A82))</x:f>
      </x:c>
      <x:c r="C82" s="34" t="str">
        <x:f>IF($A82="","",SUMIFS(Base_Lancamentos!$I:$I,Base_Lancamentos!$B:$B,$A82))</x:f>
      </x:c>
      <x:c r="D82" s="34" t="str">
        <x:f>IF($A82="","",B82-C82)</x:f>
      </x:c>
      <x:c r="E82" s="32" t="str">
        <x:f>IF($A82="","",IFERROR(MAXIFS(Base_Lancamentos!$C:$C,Base_Lancamentos!$B:$B,$A82,Base_Lancamentos!$D:$D,"Intervenção"),""))</x:f>
      </x:c>
      <x:c r="F82" s="60" t="str">
        <x:f>IF($A82="","",COUNTIFS(Base_Lancamentos!$B:$B,$A82,Base_Lancamentos!$D:$D,"Intervenção"))</x:f>
      </x:c>
      <x:c r="G82" s="30" t="str">
        <x:f>IF($A82="","",IF($D82&lt;=0,"ESGOTADO",IF($D82&lt;=Config!$H$2,"SALDO CRÍTICO",IF($D82&lt;=Config!$H$3,"SALDO BAIXO","OK"))))</x:f>
      </x:c>
      <x:c r="H82" s="30" t="str">
        <x:f>IF($A82="","",IF($G82="ESGOTADO","Enviar proposta de novo pack",IF($G82="SALDO CRÍTICO","Contactar cliente para renovação",IF($G82="SALDO BAIXO","Acompanhar saldo","Sem ação imediata"))))</x:f>
      </x:c>
    </x:row>
    <x:row r="83">
      <x:c r="A83" s="30" t="str">
        <x:f>IF(Config!A75="","",Config!A75)</x:f>
      </x:c>
      <x:c r="B83" s="34" t="str">
        <x:f>IF($A83="","",SUMIFS(Base_Lancamentos!$H:$H,Base_Lancamentos!$B:$B,$A83))</x:f>
      </x:c>
      <x:c r="C83" s="34" t="str">
        <x:f>IF($A83="","",SUMIFS(Base_Lancamentos!$I:$I,Base_Lancamentos!$B:$B,$A83))</x:f>
      </x:c>
      <x:c r="D83" s="34" t="str">
        <x:f>IF($A83="","",B83-C83)</x:f>
      </x:c>
      <x:c r="E83" s="32" t="str">
        <x:f>IF($A83="","",IFERROR(MAXIFS(Base_Lancamentos!$C:$C,Base_Lancamentos!$B:$B,$A83,Base_Lancamentos!$D:$D,"Intervenção"),""))</x:f>
      </x:c>
      <x:c r="F83" s="60" t="str">
        <x:f>IF($A83="","",COUNTIFS(Base_Lancamentos!$B:$B,$A83,Base_Lancamentos!$D:$D,"Intervenção"))</x:f>
      </x:c>
      <x:c r="G83" s="30" t="str">
        <x:f>IF($A83="","",IF($D83&lt;=0,"ESGOTADO",IF($D83&lt;=Config!$H$2,"SALDO CRÍTICO",IF($D83&lt;=Config!$H$3,"SALDO BAIXO","OK"))))</x:f>
      </x:c>
      <x:c r="H83" s="30" t="str">
        <x:f>IF($A83="","",IF($G83="ESGOTADO","Enviar proposta de novo pack",IF($G83="SALDO CRÍTICO","Contactar cliente para renovação",IF($G83="SALDO BAIXO","Acompanhar saldo","Sem ação imediata"))))</x:f>
      </x:c>
    </x:row>
    <x:row r="84">
      <x:c r="A84" s="30" t="str">
        <x:f>IF(Config!A76="","",Config!A76)</x:f>
      </x:c>
      <x:c r="B84" s="34" t="str">
        <x:f>IF($A84="","",SUMIFS(Base_Lancamentos!$H:$H,Base_Lancamentos!$B:$B,$A84))</x:f>
      </x:c>
      <x:c r="C84" s="34" t="str">
        <x:f>IF($A84="","",SUMIFS(Base_Lancamentos!$I:$I,Base_Lancamentos!$B:$B,$A84))</x:f>
      </x:c>
      <x:c r="D84" s="34" t="str">
        <x:f>IF($A84="","",B84-C84)</x:f>
      </x:c>
      <x:c r="E84" s="32" t="str">
        <x:f>IF($A84="","",IFERROR(MAXIFS(Base_Lancamentos!$C:$C,Base_Lancamentos!$B:$B,$A84,Base_Lancamentos!$D:$D,"Intervenção"),""))</x:f>
      </x:c>
      <x:c r="F84" s="60" t="str">
        <x:f>IF($A84="","",COUNTIFS(Base_Lancamentos!$B:$B,$A84,Base_Lancamentos!$D:$D,"Intervenção"))</x:f>
      </x:c>
      <x:c r="G84" s="30" t="str">
        <x:f>IF($A84="","",IF($D84&lt;=0,"ESGOTADO",IF($D84&lt;=Config!$H$2,"SALDO CRÍTICO",IF($D84&lt;=Config!$H$3,"SALDO BAIXO","OK"))))</x:f>
      </x:c>
      <x:c r="H84" s="30" t="str">
        <x:f>IF($A84="","",IF($G84="ESGOTADO","Enviar proposta de novo pack",IF($G84="SALDO CRÍTICO","Contactar cliente para renovação",IF($G84="SALDO BAIXO","Acompanhar saldo","Sem ação imediata"))))</x:f>
      </x:c>
    </x:row>
    <x:row r="85">
      <x:c r="A85" s="30" t="str">
        <x:f>IF(Config!A77="","",Config!A77)</x:f>
      </x:c>
      <x:c r="B85" s="34" t="str">
        <x:f>IF($A85="","",SUMIFS(Base_Lancamentos!$H:$H,Base_Lancamentos!$B:$B,$A85))</x:f>
      </x:c>
      <x:c r="C85" s="34" t="str">
        <x:f>IF($A85="","",SUMIFS(Base_Lancamentos!$I:$I,Base_Lancamentos!$B:$B,$A85))</x:f>
      </x:c>
      <x:c r="D85" s="34" t="str">
        <x:f>IF($A85="","",B85-C85)</x:f>
      </x:c>
      <x:c r="E85" s="32" t="str">
        <x:f>IF($A85="","",IFERROR(MAXIFS(Base_Lancamentos!$C:$C,Base_Lancamentos!$B:$B,$A85,Base_Lancamentos!$D:$D,"Intervenção"),""))</x:f>
      </x:c>
      <x:c r="F85" s="60" t="str">
        <x:f>IF($A85="","",COUNTIFS(Base_Lancamentos!$B:$B,$A85,Base_Lancamentos!$D:$D,"Intervenção"))</x:f>
      </x:c>
      <x:c r="G85" s="30" t="str">
        <x:f>IF($A85="","",IF($D85&lt;=0,"ESGOTADO",IF($D85&lt;=Config!$H$2,"SALDO CRÍTICO",IF($D85&lt;=Config!$H$3,"SALDO BAIXO","OK"))))</x:f>
      </x:c>
      <x:c r="H85" s="30" t="str">
        <x:f>IF($A85="","",IF($G85="ESGOTADO","Enviar proposta de novo pack",IF($G85="SALDO CRÍTICO","Contactar cliente para renovação",IF($G85="SALDO BAIXO","Acompanhar saldo","Sem ação imediata"))))</x:f>
      </x:c>
    </x:row>
    <x:row r="86">
      <x:c r="A86" s="30" t="str">
        <x:f>IF(Config!A78="","",Config!A78)</x:f>
      </x:c>
      <x:c r="B86" s="34" t="str">
        <x:f>IF($A86="","",SUMIFS(Base_Lancamentos!$H:$H,Base_Lancamentos!$B:$B,$A86))</x:f>
      </x:c>
      <x:c r="C86" s="34" t="str">
        <x:f>IF($A86="","",SUMIFS(Base_Lancamentos!$I:$I,Base_Lancamentos!$B:$B,$A86))</x:f>
      </x:c>
      <x:c r="D86" s="34" t="str">
        <x:f>IF($A86="","",B86-C86)</x:f>
      </x:c>
      <x:c r="E86" s="32" t="str">
        <x:f>IF($A86="","",IFERROR(MAXIFS(Base_Lancamentos!$C:$C,Base_Lancamentos!$B:$B,$A86,Base_Lancamentos!$D:$D,"Intervenção"),""))</x:f>
      </x:c>
      <x:c r="F86" s="60" t="str">
        <x:f>IF($A86="","",COUNTIFS(Base_Lancamentos!$B:$B,$A86,Base_Lancamentos!$D:$D,"Intervenção"))</x:f>
      </x:c>
      <x:c r="G86" s="30" t="str">
        <x:f>IF($A86="","",IF($D86&lt;=0,"ESGOTADO",IF($D86&lt;=Config!$H$2,"SALDO CRÍTICO",IF($D86&lt;=Config!$H$3,"SALDO BAIXO","OK"))))</x:f>
      </x:c>
      <x:c r="H86" s="30" t="str">
        <x:f>IF($A86="","",IF($G86="ESGOTADO","Enviar proposta de novo pack",IF($G86="SALDO CRÍTICO","Contactar cliente para renovação",IF($G86="SALDO BAIXO","Acompanhar saldo","Sem ação imediata"))))</x:f>
      </x:c>
    </x:row>
    <x:row r="87">
      <x:c r="A87" s="30" t="str">
        <x:f>IF(Config!A79="","",Config!A79)</x:f>
      </x:c>
      <x:c r="B87" s="34" t="str">
        <x:f>IF($A87="","",SUMIFS(Base_Lancamentos!$H:$H,Base_Lancamentos!$B:$B,$A87))</x:f>
      </x:c>
      <x:c r="C87" s="34" t="str">
        <x:f>IF($A87="","",SUMIFS(Base_Lancamentos!$I:$I,Base_Lancamentos!$B:$B,$A87))</x:f>
      </x:c>
      <x:c r="D87" s="34" t="str">
        <x:f>IF($A87="","",B87-C87)</x:f>
      </x:c>
      <x:c r="E87" s="32" t="str">
        <x:f>IF($A87="","",IFERROR(MAXIFS(Base_Lancamentos!$C:$C,Base_Lancamentos!$B:$B,$A87,Base_Lancamentos!$D:$D,"Intervenção"),""))</x:f>
      </x:c>
      <x:c r="F87" s="60" t="str">
        <x:f>IF($A87="","",COUNTIFS(Base_Lancamentos!$B:$B,$A87,Base_Lancamentos!$D:$D,"Intervenção"))</x:f>
      </x:c>
      <x:c r="G87" s="30" t="str">
        <x:f>IF($A87="","",IF($D87&lt;=0,"ESGOTADO",IF($D87&lt;=Config!$H$2,"SALDO CRÍTICO",IF($D87&lt;=Config!$H$3,"SALDO BAIXO","OK"))))</x:f>
      </x:c>
      <x:c r="H87" s="30" t="str">
        <x:f>IF($A87="","",IF($G87="ESGOTADO","Enviar proposta de novo pack",IF($G87="SALDO CRÍTICO","Contactar cliente para renovação",IF($G87="SALDO BAIXO","Acompanhar saldo","Sem ação imediata"))))</x:f>
      </x:c>
    </x:row>
    <x:row r="88">
      <x:c r="A88" s="30" t="str">
        <x:f>IF(Config!A80="","",Config!A80)</x:f>
      </x:c>
      <x:c r="B88" s="34" t="str">
        <x:f>IF($A88="","",SUMIFS(Base_Lancamentos!$H:$H,Base_Lancamentos!$B:$B,$A88))</x:f>
      </x:c>
      <x:c r="C88" s="34" t="str">
        <x:f>IF($A88="","",SUMIFS(Base_Lancamentos!$I:$I,Base_Lancamentos!$B:$B,$A88))</x:f>
      </x:c>
      <x:c r="D88" s="34" t="str">
        <x:f>IF($A88="","",B88-C88)</x:f>
      </x:c>
      <x:c r="E88" s="32" t="str">
        <x:f>IF($A88="","",IFERROR(MAXIFS(Base_Lancamentos!$C:$C,Base_Lancamentos!$B:$B,$A88,Base_Lancamentos!$D:$D,"Intervenção"),""))</x:f>
      </x:c>
      <x:c r="F88" s="60" t="str">
        <x:f>IF($A88="","",COUNTIFS(Base_Lancamentos!$B:$B,$A88,Base_Lancamentos!$D:$D,"Intervenção"))</x:f>
      </x:c>
      <x:c r="G88" s="30" t="str">
        <x:f>IF($A88="","",IF($D88&lt;=0,"ESGOTADO",IF($D88&lt;=Config!$H$2,"SALDO CRÍTICO",IF($D88&lt;=Config!$H$3,"SALDO BAIXO","OK"))))</x:f>
      </x:c>
      <x:c r="H88" s="30" t="str">
        <x:f>IF($A88="","",IF($G88="ESGOTADO","Enviar proposta de novo pack",IF($G88="SALDO CRÍTICO","Contactar cliente para renovação",IF($G88="SALDO BAIXO","Acompanhar saldo","Sem ação imediata"))))</x:f>
      </x:c>
    </x:row>
    <x:row r="89">
      <x:c r="A89" s="30" t="str">
        <x:f>IF(Config!A81="","",Config!A81)</x:f>
      </x:c>
      <x:c r="B89" s="34" t="str">
        <x:f>IF($A89="","",SUMIFS(Base_Lancamentos!$H:$H,Base_Lancamentos!$B:$B,$A89))</x:f>
      </x:c>
      <x:c r="C89" s="34" t="str">
        <x:f>IF($A89="","",SUMIFS(Base_Lancamentos!$I:$I,Base_Lancamentos!$B:$B,$A89))</x:f>
      </x:c>
      <x:c r="D89" s="34" t="str">
        <x:f>IF($A89="","",B89-C89)</x:f>
      </x:c>
      <x:c r="E89" s="32" t="str">
        <x:f>IF($A89="","",IFERROR(MAXIFS(Base_Lancamentos!$C:$C,Base_Lancamentos!$B:$B,$A89,Base_Lancamentos!$D:$D,"Intervenção"),""))</x:f>
      </x:c>
      <x:c r="F89" s="60" t="str">
        <x:f>IF($A89="","",COUNTIFS(Base_Lancamentos!$B:$B,$A89,Base_Lancamentos!$D:$D,"Intervenção"))</x:f>
      </x:c>
      <x:c r="G89" s="30" t="str">
        <x:f>IF($A89="","",IF($D89&lt;=0,"ESGOTADO",IF($D89&lt;=Config!$H$2,"SALDO CRÍTICO",IF($D89&lt;=Config!$H$3,"SALDO BAIXO","OK"))))</x:f>
      </x:c>
      <x:c r="H89" s="30" t="str">
        <x:f>IF($A89="","",IF($G89="ESGOTADO","Enviar proposta de novo pack",IF($G89="SALDO CRÍTICO","Contactar cliente para renovação",IF($G89="SALDO BAIXO","Acompanhar saldo","Sem ação imediata"))))</x:f>
      </x:c>
    </x:row>
    <x:row r="90">
      <x:c r="A90" s="30" t="str">
        <x:f>IF(Config!A82="","",Config!A82)</x:f>
      </x:c>
      <x:c r="B90" s="34" t="str">
        <x:f>IF($A90="","",SUMIFS(Base_Lancamentos!$H:$H,Base_Lancamentos!$B:$B,$A90))</x:f>
      </x:c>
      <x:c r="C90" s="34" t="str">
        <x:f>IF($A90="","",SUMIFS(Base_Lancamentos!$I:$I,Base_Lancamentos!$B:$B,$A90))</x:f>
      </x:c>
      <x:c r="D90" s="34" t="str">
        <x:f>IF($A90="","",B90-C90)</x:f>
      </x:c>
      <x:c r="E90" s="32" t="str">
        <x:f>IF($A90="","",IFERROR(MAXIFS(Base_Lancamentos!$C:$C,Base_Lancamentos!$B:$B,$A90,Base_Lancamentos!$D:$D,"Intervenção"),""))</x:f>
      </x:c>
      <x:c r="F90" s="60" t="str">
        <x:f>IF($A90="","",COUNTIFS(Base_Lancamentos!$B:$B,$A90,Base_Lancamentos!$D:$D,"Intervenção"))</x:f>
      </x:c>
      <x:c r="G90" s="30" t="str">
        <x:f>IF($A90="","",IF($D90&lt;=0,"ESGOTADO",IF($D90&lt;=Config!$H$2,"SALDO CRÍTICO",IF($D90&lt;=Config!$H$3,"SALDO BAIXO","OK"))))</x:f>
      </x:c>
      <x:c r="H90" s="30" t="str">
        <x:f>IF($A90="","",IF($G90="ESGOTADO","Enviar proposta de novo pack",IF($G90="SALDO CRÍTICO","Contactar cliente para renovação",IF($G90="SALDO BAIXO","Acompanhar saldo","Sem ação imediata"))))</x:f>
      </x:c>
    </x:row>
    <x:row r="91">
      <x:c r="A91" s="30" t="str">
        <x:f>IF(Config!A83="","",Config!A83)</x:f>
      </x:c>
      <x:c r="B91" s="34" t="str">
        <x:f>IF($A91="","",SUMIFS(Base_Lancamentos!$H:$H,Base_Lancamentos!$B:$B,$A91))</x:f>
      </x:c>
      <x:c r="C91" s="34" t="str">
        <x:f>IF($A91="","",SUMIFS(Base_Lancamentos!$I:$I,Base_Lancamentos!$B:$B,$A91))</x:f>
      </x:c>
      <x:c r="D91" s="34" t="str">
        <x:f>IF($A91="","",B91-C91)</x:f>
      </x:c>
      <x:c r="E91" s="32" t="str">
        <x:f>IF($A91="","",IFERROR(MAXIFS(Base_Lancamentos!$C:$C,Base_Lancamentos!$B:$B,$A91,Base_Lancamentos!$D:$D,"Intervenção"),""))</x:f>
      </x:c>
      <x:c r="F91" s="60" t="str">
        <x:f>IF($A91="","",COUNTIFS(Base_Lancamentos!$B:$B,$A91,Base_Lancamentos!$D:$D,"Intervenção"))</x:f>
      </x:c>
      <x:c r="G91" s="30" t="str">
        <x:f>IF($A91="","",IF($D91&lt;=0,"ESGOTADO",IF($D91&lt;=Config!$H$2,"SALDO CRÍTICO",IF($D91&lt;=Config!$H$3,"SALDO BAIXO","OK"))))</x:f>
      </x:c>
      <x:c r="H91" s="30" t="str">
        <x:f>IF($A91="","",IF($G91="ESGOTADO","Enviar proposta de novo pack",IF($G91="SALDO CRÍTICO","Contactar cliente para renovação",IF($G91="SALDO BAIXO","Acompanhar saldo","Sem ação imediata"))))</x:f>
      </x:c>
    </x:row>
    <x:row r="92">
      <x:c r="A92" s="30" t="str">
        <x:f>IF(Config!A84="","",Config!A84)</x:f>
      </x:c>
      <x:c r="B92" s="34" t="str">
        <x:f>IF($A92="","",SUMIFS(Base_Lancamentos!$H:$H,Base_Lancamentos!$B:$B,$A92))</x:f>
      </x:c>
      <x:c r="C92" s="34" t="str">
        <x:f>IF($A92="","",SUMIFS(Base_Lancamentos!$I:$I,Base_Lancamentos!$B:$B,$A92))</x:f>
      </x:c>
      <x:c r="D92" s="34" t="str">
        <x:f>IF($A92="","",B92-C92)</x:f>
      </x:c>
      <x:c r="E92" s="32" t="str">
        <x:f>IF($A92="","",IFERROR(MAXIFS(Base_Lancamentos!$C:$C,Base_Lancamentos!$B:$B,$A92,Base_Lancamentos!$D:$D,"Intervenção"),""))</x:f>
      </x:c>
      <x:c r="F92" s="60" t="str">
        <x:f>IF($A92="","",COUNTIFS(Base_Lancamentos!$B:$B,$A92,Base_Lancamentos!$D:$D,"Intervenção"))</x:f>
      </x:c>
      <x:c r="G92" s="30" t="str">
        <x:f>IF($A92="","",IF($D92&lt;=0,"ESGOTADO",IF($D92&lt;=Config!$H$2,"SALDO CRÍTICO",IF($D92&lt;=Config!$H$3,"SALDO BAIXO","OK"))))</x:f>
      </x:c>
      <x:c r="H92" s="30" t="str">
        <x:f>IF($A92="","",IF($G92="ESGOTADO","Enviar proposta de novo pack",IF($G92="SALDO CRÍTICO","Contactar cliente para renovação",IF($G92="SALDO BAIXO","Acompanhar saldo","Sem ação imediata"))))</x:f>
      </x:c>
    </x:row>
    <x:row r="93">
      <x:c r="A93" s="30" t="str">
        <x:f>IF(Config!A85="","",Config!A85)</x:f>
      </x:c>
      <x:c r="B93" s="34" t="str">
        <x:f>IF($A93="","",SUMIFS(Base_Lancamentos!$H:$H,Base_Lancamentos!$B:$B,$A93))</x:f>
      </x:c>
      <x:c r="C93" s="34" t="str">
        <x:f>IF($A93="","",SUMIFS(Base_Lancamentos!$I:$I,Base_Lancamentos!$B:$B,$A93))</x:f>
      </x:c>
      <x:c r="D93" s="34" t="str">
        <x:f>IF($A93="","",B93-C93)</x:f>
      </x:c>
      <x:c r="E93" s="32" t="str">
        <x:f>IF($A93="","",IFERROR(MAXIFS(Base_Lancamentos!$C:$C,Base_Lancamentos!$B:$B,$A93,Base_Lancamentos!$D:$D,"Intervenção"),""))</x:f>
      </x:c>
      <x:c r="F93" s="60" t="str">
        <x:f>IF($A93="","",COUNTIFS(Base_Lancamentos!$B:$B,$A93,Base_Lancamentos!$D:$D,"Intervenção"))</x:f>
      </x:c>
      <x:c r="G93" s="30" t="str">
        <x:f>IF($A93="","",IF($D93&lt;=0,"ESGOTADO",IF($D93&lt;=Config!$H$2,"SALDO CRÍTICO",IF($D93&lt;=Config!$H$3,"SALDO BAIXO","OK"))))</x:f>
      </x:c>
      <x:c r="H93" s="30" t="str">
        <x:f>IF($A93="","",IF($G93="ESGOTADO","Enviar proposta de novo pack",IF($G93="SALDO CRÍTICO","Contactar cliente para renovação",IF($G93="SALDO BAIXO","Acompanhar saldo","Sem ação imediata"))))</x:f>
      </x:c>
    </x:row>
    <x:row r="94">
      <x:c r="A94" s="30" t="str">
        <x:f>IF(Config!A86="","",Config!A86)</x:f>
      </x:c>
      <x:c r="B94" s="34" t="str">
        <x:f>IF($A94="","",SUMIFS(Base_Lancamentos!$H:$H,Base_Lancamentos!$B:$B,$A94))</x:f>
      </x:c>
      <x:c r="C94" s="34" t="str">
        <x:f>IF($A94="","",SUMIFS(Base_Lancamentos!$I:$I,Base_Lancamentos!$B:$B,$A94))</x:f>
      </x:c>
      <x:c r="D94" s="34" t="str">
        <x:f>IF($A94="","",B94-C94)</x:f>
      </x:c>
      <x:c r="E94" s="32" t="str">
        <x:f>IF($A94="","",IFERROR(MAXIFS(Base_Lancamentos!$C:$C,Base_Lancamentos!$B:$B,$A94,Base_Lancamentos!$D:$D,"Intervenção"),""))</x:f>
      </x:c>
      <x:c r="F94" s="60" t="str">
        <x:f>IF($A94="","",COUNTIFS(Base_Lancamentos!$B:$B,$A94,Base_Lancamentos!$D:$D,"Intervenção"))</x:f>
      </x:c>
      <x:c r="G94" s="30" t="str">
        <x:f>IF($A94="","",IF($D94&lt;=0,"ESGOTADO",IF($D94&lt;=Config!$H$2,"SALDO CRÍTICO",IF($D94&lt;=Config!$H$3,"SALDO BAIXO","OK"))))</x:f>
      </x:c>
      <x:c r="H94" s="30" t="str">
        <x:f>IF($A94="","",IF($G94="ESGOTADO","Enviar proposta de novo pack",IF($G94="SALDO CRÍTICO","Contactar cliente para renovação",IF($G94="SALDO BAIXO","Acompanhar saldo","Sem ação imediata"))))</x:f>
      </x:c>
    </x:row>
    <x:row r="95">
      <x:c r="A95" s="30" t="str">
        <x:f>IF(Config!A87="","",Config!A87)</x:f>
      </x:c>
      <x:c r="B95" s="34" t="str">
        <x:f>IF($A95="","",SUMIFS(Base_Lancamentos!$H:$H,Base_Lancamentos!$B:$B,$A95))</x:f>
      </x:c>
      <x:c r="C95" s="34" t="str">
        <x:f>IF($A95="","",SUMIFS(Base_Lancamentos!$I:$I,Base_Lancamentos!$B:$B,$A95))</x:f>
      </x:c>
      <x:c r="D95" s="34" t="str">
        <x:f>IF($A95="","",B95-C95)</x:f>
      </x:c>
      <x:c r="E95" s="32" t="str">
        <x:f>IF($A95="","",IFERROR(MAXIFS(Base_Lancamentos!$C:$C,Base_Lancamentos!$B:$B,$A95,Base_Lancamentos!$D:$D,"Intervenção"),""))</x:f>
      </x:c>
      <x:c r="F95" s="60" t="str">
        <x:f>IF($A95="","",COUNTIFS(Base_Lancamentos!$B:$B,$A95,Base_Lancamentos!$D:$D,"Intervenção"))</x:f>
      </x:c>
      <x:c r="G95" s="30" t="str">
        <x:f>IF($A95="","",IF($D95&lt;=0,"ESGOTADO",IF($D95&lt;=Config!$H$2,"SALDO CRÍTICO",IF($D95&lt;=Config!$H$3,"SALDO BAIXO","OK"))))</x:f>
      </x:c>
      <x:c r="H95" s="30" t="str">
        <x:f>IF($A95="","",IF($G95="ESGOTADO","Enviar proposta de novo pack",IF($G95="SALDO CRÍTICO","Contactar cliente para renovação",IF($G95="SALDO BAIXO","Acompanhar saldo","Sem ação imediata"))))</x:f>
      </x:c>
    </x:row>
    <x:row r="96">
      <x:c r="A96" s="30" t="str">
        <x:f>IF(Config!A88="","",Config!A88)</x:f>
      </x:c>
      <x:c r="B96" s="34" t="str">
        <x:f>IF($A96="","",SUMIFS(Base_Lancamentos!$H:$H,Base_Lancamentos!$B:$B,$A96))</x:f>
      </x:c>
      <x:c r="C96" s="34" t="str">
        <x:f>IF($A96="","",SUMIFS(Base_Lancamentos!$I:$I,Base_Lancamentos!$B:$B,$A96))</x:f>
      </x:c>
      <x:c r="D96" s="34" t="str">
        <x:f>IF($A96="","",B96-C96)</x:f>
      </x:c>
      <x:c r="E96" s="32" t="str">
        <x:f>IF($A96="","",IFERROR(MAXIFS(Base_Lancamentos!$C:$C,Base_Lancamentos!$B:$B,$A96,Base_Lancamentos!$D:$D,"Intervenção"),""))</x:f>
      </x:c>
      <x:c r="F96" s="60" t="str">
        <x:f>IF($A96="","",COUNTIFS(Base_Lancamentos!$B:$B,$A96,Base_Lancamentos!$D:$D,"Intervenção"))</x:f>
      </x:c>
      <x:c r="G96" s="30" t="str">
        <x:f>IF($A96="","",IF($D96&lt;=0,"ESGOTADO",IF($D96&lt;=Config!$H$2,"SALDO CRÍTICO",IF($D96&lt;=Config!$H$3,"SALDO BAIXO","OK"))))</x:f>
      </x:c>
      <x:c r="H96" s="30" t="str">
        <x:f>IF($A96="","",IF($G96="ESGOTADO","Enviar proposta de novo pack",IF($G96="SALDO CRÍTICO","Contactar cliente para renovação",IF($G96="SALDO BAIXO","Acompanhar saldo","Sem ação imediata"))))</x:f>
      </x:c>
    </x:row>
    <x:row r="97">
      <x:c r="A97" s="30" t="str">
        <x:f>IF(Config!A89="","",Config!A89)</x:f>
      </x:c>
      <x:c r="B97" s="34" t="str">
        <x:f>IF($A97="","",SUMIFS(Base_Lancamentos!$H:$H,Base_Lancamentos!$B:$B,$A97))</x:f>
      </x:c>
      <x:c r="C97" s="34" t="str">
        <x:f>IF($A97="","",SUMIFS(Base_Lancamentos!$I:$I,Base_Lancamentos!$B:$B,$A97))</x:f>
      </x:c>
      <x:c r="D97" s="34" t="str">
        <x:f>IF($A97="","",B97-C97)</x:f>
      </x:c>
      <x:c r="E97" s="32" t="str">
        <x:f>IF($A97="","",IFERROR(MAXIFS(Base_Lancamentos!$C:$C,Base_Lancamentos!$B:$B,$A97,Base_Lancamentos!$D:$D,"Intervenção"),""))</x:f>
      </x:c>
      <x:c r="F97" s="60" t="str">
        <x:f>IF($A97="","",COUNTIFS(Base_Lancamentos!$B:$B,$A97,Base_Lancamentos!$D:$D,"Intervenção"))</x:f>
      </x:c>
      <x:c r="G97" s="30" t="str">
        <x:f>IF($A97="","",IF($D97&lt;=0,"ESGOTADO",IF($D97&lt;=Config!$H$2,"SALDO CRÍTICO",IF($D97&lt;=Config!$H$3,"SALDO BAIXO","OK"))))</x:f>
      </x:c>
      <x:c r="H97" s="30" t="str">
        <x:f>IF($A97="","",IF($G97="ESGOTADO","Enviar proposta de novo pack",IF($G97="SALDO CRÍTICO","Contactar cliente para renovação",IF($G97="SALDO BAIXO","Acompanhar saldo","Sem ação imediata"))))</x:f>
      </x:c>
    </x:row>
    <x:row r="98">
      <x:c r="A98" s="30" t="str">
        <x:f>IF(Config!A90="","",Config!A90)</x:f>
      </x:c>
      <x:c r="B98" s="34" t="str">
        <x:f>IF($A98="","",SUMIFS(Base_Lancamentos!$H:$H,Base_Lancamentos!$B:$B,$A98))</x:f>
      </x:c>
      <x:c r="C98" s="34" t="str">
        <x:f>IF($A98="","",SUMIFS(Base_Lancamentos!$I:$I,Base_Lancamentos!$B:$B,$A98))</x:f>
      </x:c>
      <x:c r="D98" s="34" t="str">
        <x:f>IF($A98="","",B98-C98)</x:f>
      </x:c>
      <x:c r="E98" s="32" t="str">
        <x:f>IF($A98="","",IFERROR(MAXIFS(Base_Lancamentos!$C:$C,Base_Lancamentos!$B:$B,$A98,Base_Lancamentos!$D:$D,"Intervenção"),""))</x:f>
      </x:c>
      <x:c r="F98" s="60" t="str">
        <x:f>IF($A98="","",COUNTIFS(Base_Lancamentos!$B:$B,$A98,Base_Lancamentos!$D:$D,"Intervenção"))</x:f>
      </x:c>
      <x:c r="G98" s="30" t="str">
        <x:f>IF($A98="","",IF($D98&lt;=0,"ESGOTADO",IF($D98&lt;=Config!$H$2,"SALDO CRÍTICO",IF($D98&lt;=Config!$H$3,"SALDO BAIXO","OK"))))</x:f>
      </x:c>
      <x:c r="H98" s="30" t="str">
        <x:f>IF($A98="","",IF($G98="ESGOTADO","Enviar proposta de novo pack",IF($G98="SALDO CRÍTICO","Contactar cliente para renovação",IF($G98="SALDO BAIXO","Acompanhar saldo","Sem ação imediata"))))</x:f>
      </x:c>
    </x:row>
    <x:row r="99">
      <x:c r="A99" s="30" t="str">
        <x:f>IF(Config!A91="","",Config!A91)</x:f>
      </x:c>
      <x:c r="B99" s="34" t="str">
        <x:f>IF($A99="","",SUMIFS(Base_Lancamentos!$H:$H,Base_Lancamentos!$B:$B,$A99))</x:f>
      </x:c>
      <x:c r="C99" s="34" t="str">
        <x:f>IF($A99="","",SUMIFS(Base_Lancamentos!$I:$I,Base_Lancamentos!$B:$B,$A99))</x:f>
      </x:c>
      <x:c r="D99" s="34" t="str">
        <x:f>IF($A99="","",B99-C99)</x:f>
      </x:c>
      <x:c r="E99" s="32" t="str">
        <x:f>IF($A99="","",IFERROR(MAXIFS(Base_Lancamentos!$C:$C,Base_Lancamentos!$B:$B,$A99,Base_Lancamentos!$D:$D,"Intervenção"),""))</x:f>
      </x:c>
      <x:c r="F99" s="60" t="str">
        <x:f>IF($A99="","",COUNTIFS(Base_Lancamentos!$B:$B,$A99,Base_Lancamentos!$D:$D,"Intervenção"))</x:f>
      </x:c>
      <x:c r="G99" s="30" t="str">
        <x:f>IF($A99="","",IF($D99&lt;=0,"ESGOTADO",IF($D99&lt;=Config!$H$2,"SALDO CRÍTICO",IF($D99&lt;=Config!$H$3,"SALDO BAIXO","OK"))))</x:f>
      </x:c>
      <x:c r="H99" s="30" t="str">
        <x:f>IF($A99="","",IF($G99="ESGOTADO","Enviar proposta de novo pack",IF($G99="SALDO CRÍTICO","Contactar cliente para renovação",IF($G99="SALDO BAIXO","Acompanhar saldo","Sem ação imediata"))))</x:f>
      </x:c>
    </x:row>
    <x:row r="100">
      <x:c r="A100" s="30" t="str">
        <x:f>IF(Config!A92="","",Config!A92)</x:f>
      </x:c>
      <x:c r="B100" s="34" t="str">
        <x:f>IF($A100="","",SUMIFS(Base_Lancamentos!$H:$H,Base_Lancamentos!$B:$B,$A100))</x:f>
      </x:c>
      <x:c r="C100" s="34" t="str">
        <x:f>IF($A100="","",SUMIFS(Base_Lancamentos!$I:$I,Base_Lancamentos!$B:$B,$A100))</x:f>
      </x:c>
      <x:c r="D100" s="34" t="str">
        <x:f>IF($A100="","",B100-C100)</x:f>
      </x:c>
      <x:c r="E100" s="32" t="str">
        <x:f>IF($A100="","",IFERROR(MAXIFS(Base_Lancamentos!$C:$C,Base_Lancamentos!$B:$B,$A100,Base_Lancamentos!$D:$D,"Intervenção"),""))</x:f>
      </x:c>
      <x:c r="F100" s="60" t="str">
        <x:f>IF($A100="","",COUNTIFS(Base_Lancamentos!$B:$B,$A100,Base_Lancamentos!$D:$D,"Intervenção"))</x:f>
      </x:c>
      <x:c r="G100" s="30" t="str">
        <x:f>IF($A100="","",IF($D100&lt;=0,"ESGOTADO",IF($D100&lt;=Config!$H$2,"SALDO CRÍTICO",IF($D100&lt;=Config!$H$3,"SALDO BAIXO","OK"))))</x:f>
      </x:c>
      <x:c r="H100" s="30" t="str">
        <x:f>IF($A100="","",IF($G100="ESGOTADO","Enviar proposta de novo pack",IF($G100="SALDO CRÍTICO","Contactar cliente para renovação",IF($G100="SALDO BAIXO","Acompanhar saldo","Sem ação imediata"))))</x:f>
      </x:c>
    </x:row>
    <x:row r="101">
      <x:c r="A101" s="30" t="str">
        <x:f>IF(Config!A93="","",Config!A93)</x:f>
      </x:c>
      <x:c r="B101" s="34" t="str">
        <x:f>IF($A101="","",SUMIFS(Base_Lancamentos!$H:$H,Base_Lancamentos!$B:$B,$A101))</x:f>
      </x:c>
      <x:c r="C101" s="34" t="str">
        <x:f>IF($A101="","",SUMIFS(Base_Lancamentos!$I:$I,Base_Lancamentos!$B:$B,$A101))</x:f>
      </x:c>
      <x:c r="D101" s="34" t="str">
        <x:f>IF($A101="","",B101-C101)</x:f>
      </x:c>
      <x:c r="E101" s="32" t="str">
        <x:f>IF($A101="","",IFERROR(MAXIFS(Base_Lancamentos!$C:$C,Base_Lancamentos!$B:$B,$A101,Base_Lancamentos!$D:$D,"Intervenção"),""))</x:f>
      </x:c>
      <x:c r="F101" s="60" t="str">
        <x:f>IF($A101="","",COUNTIFS(Base_Lancamentos!$B:$B,$A101,Base_Lancamentos!$D:$D,"Intervenção"))</x:f>
      </x:c>
      <x:c r="G101" s="30" t="str">
        <x:f>IF($A101="","",IF($D101&lt;=0,"ESGOTADO",IF($D101&lt;=Config!$H$2,"SALDO CRÍTICO",IF($D101&lt;=Config!$H$3,"SALDO BAIXO","OK"))))</x:f>
      </x:c>
      <x:c r="H101" s="30" t="str">
        <x:f>IF($A101="","",IF($G101="ESGOTADO","Enviar proposta de novo pack",IF($G101="SALDO CRÍTICO","Contactar cliente para renovação",IF($G101="SALDO BAIXO","Acompanhar saldo","Sem ação imediata"))))</x:f>
      </x:c>
    </x:row>
    <x:row r="102">
      <x:c r="A102" s="30" t="str">
        <x:f>IF(Config!A94="","",Config!A94)</x:f>
      </x:c>
      <x:c r="B102" s="34" t="str">
        <x:f>IF($A102="","",SUMIFS(Base_Lancamentos!$H:$H,Base_Lancamentos!$B:$B,$A102))</x:f>
      </x:c>
      <x:c r="C102" s="34" t="str">
        <x:f>IF($A102="","",SUMIFS(Base_Lancamentos!$I:$I,Base_Lancamentos!$B:$B,$A102))</x:f>
      </x:c>
      <x:c r="D102" s="34" t="str">
        <x:f>IF($A102="","",B102-C102)</x:f>
      </x:c>
      <x:c r="E102" s="32" t="str">
        <x:f>IF($A102="","",IFERROR(MAXIFS(Base_Lancamentos!$C:$C,Base_Lancamentos!$B:$B,$A102,Base_Lancamentos!$D:$D,"Intervenção"),""))</x:f>
      </x:c>
      <x:c r="F102" s="60" t="str">
        <x:f>IF($A102="","",COUNTIFS(Base_Lancamentos!$B:$B,$A102,Base_Lancamentos!$D:$D,"Intervenção"))</x:f>
      </x:c>
      <x:c r="G102" s="30" t="str">
        <x:f>IF($A102="","",IF($D102&lt;=0,"ESGOTADO",IF($D102&lt;=Config!$H$2,"SALDO CRÍTICO",IF($D102&lt;=Config!$H$3,"SALDO BAIXO","OK"))))</x:f>
      </x:c>
      <x:c r="H102" s="30" t="str">
        <x:f>IF($A102="","",IF($G102="ESGOTADO","Enviar proposta de novo pack",IF($G102="SALDO CRÍTICO","Contactar cliente para renovação",IF($G102="SALDO BAIXO","Acompanhar saldo","Sem ação imediata"))))</x:f>
      </x:c>
    </x:row>
    <x:row r="103">
      <x:c r="A103" s="30" t="str">
        <x:f>IF(Config!A95="","",Config!A95)</x:f>
      </x:c>
      <x:c r="B103" s="34" t="str">
        <x:f>IF($A103="","",SUMIFS(Base_Lancamentos!$H:$H,Base_Lancamentos!$B:$B,$A103))</x:f>
      </x:c>
      <x:c r="C103" s="34" t="str">
        <x:f>IF($A103="","",SUMIFS(Base_Lancamentos!$I:$I,Base_Lancamentos!$B:$B,$A103))</x:f>
      </x:c>
      <x:c r="D103" s="34" t="str">
        <x:f>IF($A103="","",B103-C103)</x:f>
      </x:c>
      <x:c r="E103" s="32" t="str">
        <x:f>IF($A103="","",IFERROR(MAXIFS(Base_Lancamentos!$C:$C,Base_Lancamentos!$B:$B,$A103,Base_Lancamentos!$D:$D,"Intervenção"),""))</x:f>
      </x:c>
      <x:c r="F103" s="60" t="str">
        <x:f>IF($A103="","",COUNTIFS(Base_Lancamentos!$B:$B,$A103,Base_Lancamentos!$D:$D,"Intervenção"))</x:f>
      </x:c>
      <x:c r="G103" s="30" t="str">
        <x:f>IF($A103="","",IF($D103&lt;=0,"ESGOTADO",IF($D103&lt;=Config!$H$2,"SALDO CRÍTICO",IF($D103&lt;=Config!$H$3,"SALDO BAIXO","OK"))))</x:f>
      </x:c>
      <x:c r="H103" s="30" t="str">
        <x:f>IF($A103="","",IF($G103="ESGOTADO","Enviar proposta de novo pack",IF($G103="SALDO CRÍTICO","Contactar cliente para renovação",IF($G103="SALDO BAIXO","Acompanhar saldo","Sem ação imediata"))))</x:f>
      </x:c>
    </x:row>
    <x:row r="104">
      <x:c r="A104" s="30" t="str">
        <x:f>IF(Config!A96="","",Config!A96)</x:f>
      </x:c>
      <x:c r="B104" s="34" t="str">
        <x:f>IF($A104="","",SUMIFS(Base_Lancamentos!$H:$H,Base_Lancamentos!$B:$B,$A104))</x:f>
      </x:c>
      <x:c r="C104" s="34" t="str">
        <x:f>IF($A104="","",SUMIFS(Base_Lancamentos!$I:$I,Base_Lancamentos!$B:$B,$A104))</x:f>
      </x:c>
      <x:c r="D104" s="34" t="str">
        <x:f>IF($A104="","",B104-C104)</x:f>
      </x:c>
      <x:c r="E104" s="32" t="str">
        <x:f>IF($A104="","",IFERROR(MAXIFS(Base_Lancamentos!$C:$C,Base_Lancamentos!$B:$B,$A104,Base_Lancamentos!$D:$D,"Intervenção"),""))</x:f>
      </x:c>
      <x:c r="F104" s="60" t="str">
        <x:f>IF($A104="","",COUNTIFS(Base_Lancamentos!$B:$B,$A104,Base_Lancamentos!$D:$D,"Intervenção"))</x:f>
      </x:c>
      <x:c r="G104" s="30" t="str">
        <x:f>IF($A104="","",IF($D104&lt;=0,"ESGOTADO",IF($D104&lt;=Config!$H$2,"SALDO CRÍTICO",IF($D104&lt;=Config!$H$3,"SALDO BAIXO","OK"))))</x:f>
      </x:c>
      <x:c r="H104" s="30" t="str">
        <x:f>IF($A104="","",IF($G104="ESGOTADO","Enviar proposta de novo pack",IF($G104="SALDO CRÍTICO","Contactar cliente para renovação",IF($G104="SALDO BAIXO","Acompanhar saldo","Sem ação imediata"))))</x:f>
      </x:c>
    </x:row>
    <x:row r="105">
      <x:c r="A105" s="30" t="str">
        <x:f>IF(Config!A97="","",Config!A97)</x:f>
      </x:c>
      <x:c r="B105" s="34" t="str">
        <x:f>IF($A105="","",SUMIFS(Base_Lancamentos!$H:$H,Base_Lancamentos!$B:$B,$A105))</x:f>
      </x:c>
      <x:c r="C105" s="34" t="str">
        <x:f>IF($A105="","",SUMIFS(Base_Lancamentos!$I:$I,Base_Lancamentos!$B:$B,$A105))</x:f>
      </x:c>
      <x:c r="D105" s="34" t="str">
        <x:f>IF($A105="","",B105-C105)</x:f>
      </x:c>
      <x:c r="E105" s="32" t="str">
        <x:f>IF($A105="","",IFERROR(MAXIFS(Base_Lancamentos!$C:$C,Base_Lancamentos!$B:$B,$A105,Base_Lancamentos!$D:$D,"Intervenção"),""))</x:f>
      </x:c>
      <x:c r="F105" s="60" t="str">
        <x:f>IF($A105="","",COUNTIFS(Base_Lancamentos!$B:$B,$A105,Base_Lancamentos!$D:$D,"Intervenção"))</x:f>
      </x:c>
      <x:c r="G105" s="30" t="str">
        <x:f>IF($A105="","",IF($D105&lt;=0,"ESGOTADO",IF($D105&lt;=Config!$H$2,"SALDO CRÍTICO",IF($D105&lt;=Config!$H$3,"SALDO BAIXO","OK"))))</x:f>
      </x:c>
      <x:c r="H105" s="30" t="str">
        <x:f>IF($A105="","",IF($G105="ESGOTADO","Enviar proposta de novo pack",IF($G105="SALDO CRÍTICO","Contactar cliente para renovação",IF($G105="SALDO BAIXO","Acompanhar saldo","Sem ação imediata"))))</x:f>
      </x:c>
    </x:row>
    <x:row r="106">
      <x:c r="A106" s="30" t="str">
        <x:f>IF(Config!A98="","",Config!A98)</x:f>
      </x:c>
      <x:c r="B106" s="34" t="str">
        <x:f>IF($A106="","",SUMIFS(Base_Lancamentos!$H:$H,Base_Lancamentos!$B:$B,$A106))</x:f>
      </x:c>
      <x:c r="C106" s="34" t="str">
        <x:f>IF($A106="","",SUMIFS(Base_Lancamentos!$I:$I,Base_Lancamentos!$B:$B,$A106))</x:f>
      </x:c>
      <x:c r="D106" s="34" t="str">
        <x:f>IF($A106="","",B106-C106)</x:f>
      </x:c>
      <x:c r="E106" s="32" t="str">
        <x:f>IF($A106="","",IFERROR(MAXIFS(Base_Lancamentos!$C:$C,Base_Lancamentos!$B:$B,$A106,Base_Lancamentos!$D:$D,"Intervenção"),""))</x:f>
      </x:c>
      <x:c r="F106" s="60" t="str">
        <x:f>IF($A106="","",COUNTIFS(Base_Lancamentos!$B:$B,$A106,Base_Lancamentos!$D:$D,"Intervenção"))</x:f>
      </x:c>
      <x:c r="G106" s="30" t="str">
        <x:f>IF($A106="","",IF($D106&lt;=0,"ESGOTADO",IF($D106&lt;=Config!$H$2,"SALDO CRÍTICO",IF($D106&lt;=Config!$H$3,"SALDO BAIXO","OK"))))</x:f>
      </x:c>
      <x:c r="H106" s="30" t="str">
        <x:f>IF($A106="","",IF($G106="ESGOTADO","Enviar proposta de novo pack",IF($G106="SALDO CRÍTICO","Contactar cliente para renovação",IF($G106="SALDO BAIXO","Acompanhar saldo","Sem ação imediata"))))</x:f>
      </x:c>
    </x:row>
    <x:row r="107">
      <x:c r="A107" s="30" t="str">
        <x:f>IF(Config!A99="","",Config!A99)</x:f>
      </x:c>
      <x:c r="B107" s="34" t="str">
        <x:f>IF($A107="","",SUMIFS(Base_Lancamentos!$H:$H,Base_Lancamentos!$B:$B,$A107))</x:f>
      </x:c>
      <x:c r="C107" s="34" t="str">
        <x:f>IF($A107="","",SUMIFS(Base_Lancamentos!$I:$I,Base_Lancamentos!$B:$B,$A107))</x:f>
      </x:c>
      <x:c r="D107" s="34" t="str">
        <x:f>IF($A107="","",B107-C107)</x:f>
      </x:c>
      <x:c r="E107" s="32" t="str">
        <x:f>IF($A107="","",IFERROR(MAXIFS(Base_Lancamentos!$C:$C,Base_Lancamentos!$B:$B,$A107,Base_Lancamentos!$D:$D,"Intervenção"),""))</x:f>
      </x:c>
      <x:c r="F107" s="60" t="str">
        <x:f>IF($A107="","",COUNTIFS(Base_Lancamentos!$B:$B,$A107,Base_Lancamentos!$D:$D,"Intervenção"))</x:f>
      </x:c>
      <x:c r="G107" s="30" t="str">
        <x:f>IF($A107="","",IF($D107&lt;=0,"ESGOTADO",IF($D107&lt;=Config!$H$2,"SALDO CRÍTICO",IF($D107&lt;=Config!$H$3,"SALDO BAIXO","OK"))))</x:f>
      </x:c>
      <x:c r="H107" s="30" t="str">
        <x:f>IF($A107="","",IF($G107="ESGOTADO","Enviar proposta de novo pack",IF($G107="SALDO CRÍTICO","Contactar cliente para renovação",IF($G107="SALDO BAIXO","Acompanhar saldo","Sem ação imediata"))))</x:f>
      </x:c>
    </x:row>
    <x:row r="108">
      <x:c r="A108" s="30" t="str">
        <x:f>IF(Config!A100="","",Config!A100)</x:f>
      </x:c>
      <x:c r="B108" s="34" t="str">
        <x:f>IF($A108="","",SUMIFS(Base_Lancamentos!$H:$H,Base_Lancamentos!$B:$B,$A108))</x:f>
      </x:c>
      <x:c r="C108" s="34" t="str">
        <x:f>IF($A108="","",SUMIFS(Base_Lancamentos!$I:$I,Base_Lancamentos!$B:$B,$A108))</x:f>
      </x:c>
      <x:c r="D108" s="34" t="str">
        <x:f>IF($A108="","",B108-C108)</x:f>
      </x:c>
      <x:c r="E108" s="32" t="str">
        <x:f>IF($A108="","",IFERROR(MAXIFS(Base_Lancamentos!$C:$C,Base_Lancamentos!$B:$B,$A108,Base_Lancamentos!$D:$D,"Intervenção"),""))</x:f>
      </x:c>
      <x:c r="F108" s="60" t="str">
        <x:f>IF($A108="","",COUNTIFS(Base_Lancamentos!$B:$B,$A108,Base_Lancamentos!$D:$D,"Intervenção"))</x:f>
      </x:c>
      <x:c r="G108" s="30" t="str">
        <x:f>IF($A108="","",IF($D108&lt;=0,"ESGOTADO",IF($D108&lt;=Config!$H$2,"SALDO CRÍTICO",IF($D108&lt;=Config!$H$3,"SALDO BAIXO","OK"))))</x:f>
      </x:c>
      <x:c r="H108" s="30" t="str">
        <x:f>IF($A108="","",IF($G108="ESGOTADO","Enviar proposta de novo pack",IF($G108="SALDO CRÍTICO","Contactar cliente para renovação",IF($G108="SALDO BAIXO","Acompanhar saldo","Sem ação imediata"))))</x:f>
      </x:c>
    </x:row>
    <x:row r="109">
      <x:c r="A109" s="30" t="str">
        <x:f>IF(Config!A101="","",Config!A101)</x:f>
      </x:c>
      <x:c r="B109" s="34" t="str">
        <x:f>IF($A109="","",SUMIFS(Base_Lancamentos!$H:$H,Base_Lancamentos!$B:$B,$A109))</x:f>
      </x:c>
      <x:c r="C109" s="34" t="str">
        <x:f>IF($A109="","",SUMIFS(Base_Lancamentos!$I:$I,Base_Lancamentos!$B:$B,$A109))</x:f>
      </x:c>
      <x:c r="D109" s="34" t="str">
        <x:f>IF($A109="","",B109-C109)</x:f>
      </x:c>
      <x:c r="E109" s="32" t="str">
        <x:f>IF($A109="","",IFERROR(MAXIFS(Base_Lancamentos!$C:$C,Base_Lancamentos!$B:$B,$A109,Base_Lancamentos!$D:$D,"Intervenção"),""))</x:f>
      </x:c>
      <x:c r="F109" s="60" t="str">
        <x:f>IF($A109="","",COUNTIFS(Base_Lancamentos!$B:$B,$A109,Base_Lancamentos!$D:$D,"Intervenção"))</x:f>
      </x:c>
      <x:c r="G109" s="30" t="str">
        <x:f>IF($A109="","",IF($D109&lt;=0,"ESGOTADO",IF($D109&lt;=Config!$H$2,"SALDO CRÍTICO",IF($D109&lt;=Config!$H$3,"SALDO BAIXO","OK"))))</x:f>
      </x:c>
      <x:c r="H109" s="30" t="str">
        <x:f>IF($A109="","",IF($G109="ESGOTADO","Enviar proposta de novo pack",IF($G109="SALDO CRÍTICO","Contactar cliente para renovação",IF($G109="SALDO BAIXO","Acompanhar saldo","Sem ação imediata"))))</x:f>
      </x:c>
    </x:row>
    <x:row r="110">
      <x:c r="A110" s="30" t="str">
        <x:f>IF(Config!A102="","",Config!A102)</x:f>
      </x:c>
      <x:c r="B110" s="34" t="str">
        <x:f>IF($A110="","",SUMIFS(Base_Lancamentos!$H:$H,Base_Lancamentos!$B:$B,$A110))</x:f>
      </x:c>
      <x:c r="C110" s="34" t="str">
        <x:f>IF($A110="","",SUMIFS(Base_Lancamentos!$I:$I,Base_Lancamentos!$B:$B,$A110))</x:f>
      </x:c>
      <x:c r="D110" s="34" t="str">
        <x:f>IF($A110="","",B110-C110)</x:f>
      </x:c>
      <x:c r="E110" s="32" t="str">
        <x:f>IF($A110="","",IFERROR(MAXIFS(Base_Lancamentos!$C:$C,Base_Lancamentos!$B:$B,$A110,Base_Lancamentos!$D:$D,"Intervenção"),""))</x:f>
      </x:c>
      <x:c r="F110" s="60" t="str">
        <x:f>IF($A110="","",COUNTIFS(Base_Lancamentos!$B:$B,$A110,Base_Lancamentos!$D:$D,"Intervenção"))</x:f>
      </x:c>
      <x:c r="G110" s="30" t="str">
        <x:f>IF($A110="","",IF($D110&lt;=0,"ESGOTADO",IF($D110&lt;=Config!$H$2,"SALDO CRÍTICO",IF($D110&lt;=Config!$H$3,"SALDO BAIXO","OK"))))</x:f>
      </x:c>
      <x:c r="H110" s="30" t="str">
        <x:f>IF($A110="","",IF($G110="ESGOTADO","Enviar proposta de novo pack",IF($G110="SALDO CRÍTICO","Contactar cliente para renovação",IF($G110="SALDO BAIXO","Acompanhar saldo","Sem ação imediata"))))</x:f>
      </x:c>
    </x:row>
    <x:row r="111">
      <x:c r="A111" s="30" t="str">
        <x:f>IF(Config!A103="","",Config!A103)</x:f>
      </x:c>
      <x:c r="B111" s="34" t="str">
        <x:f>IF($A111="","",SUMIFS(Base_Lancamentos!$H:$H,Base_Lancamentos!$B:$B,$A111))</x:f>
      </x:c>
      <x:c r="C111" s="34" t="str">
        <x:f>IF($A111="","",SUMIFS(Base_Lancamentos!$I:$I,Base_Lancamentos!$B:$B,$A111))</x:f>
      </x:c>
      <x:c r="D111" s="34" t="str">
        <x:f>IF($A111="","",B111-C111)</x:f>
      </x:c>
      <x:c r="E111" s="32" t="str">
        <x:f>IF($A111="","",IFERROR(MAXIFS(Base_Lancamentos!$C:$C,Base_Lancamentos!$B:$B,$A111,Base_Lancamentos!$D:$D,"Intervenção"),""))</x:f>
      </x:c>
      <x:c r="F111" s="60" t="str">
        <x:f>IF($A111="","",COUNTIFS(Base_Lancamentos!$B:$B,$A111,Base_Lancamentos!$D:$D,"Intervenção"))</x:f>
      </x:c>
      <x:c r="G111" s="30" t="str">
        <x:f>IF($A111="","",IF($D111&lt;=0,"ESGOTADO",IF($D111&lt;=Config!$H$2,"SALDO CRÍTICO",IF($D111&lt;=Config!$H$3,"SALDO BAIXO","OK"))))</x:f>
      </x:c>
      <x:c r="H111" s="30" t="str">
        <x:f>IF($A111="","",IF($G111="ESGOTADO","Enviar proposta de novo pack",IF($G111="SALDO CRÍTICO","Contactar cliente para renovação",IF($G111="SALDO BAIXO","Acompanhar saldo","Sem ação imediata"))))</x:f>
      </x:c>
    </x:row>
    <x:row r="112">
      <x:c r="A112" s="30" t="str">
        <x:f>IF(Config!A104="","",Config!A104)</x:f>
      </x:c>
      <x:c r="B112" s="34" t="str">
        <x:f>IF($A112="","",SUMIFS(Base_Lancamentos!$H:$H,Base_Lancamentos!$B:$B,$A112))</x:f>
      </x:c>
      <x:c r="C112" s="34" t="str">
        <x:f>IF($A112="","",SUMIFS(Base_Lancamentos!$I:$I,Base_Lancamentos!$B:$B,$A112))</x:f>
      </x:c>
      <x:c r="D112" s="34" t="str">
        <x:f>IF($A112="","",B112-C112)</x:f>
      </x:c>
      <x:c r="E112" s="32" t="str">
        <x:f>IF($A112="","",IFERROR(MAXIFS(Base_Lancamentos!$C:$C,Base_Lancamentos!$B:$B,$A112,Base_Lancamentos!$D:$D,"Intervenção"),""))</x:f>
      </x:c>
      <x:c r="F112" s="60" t="str">
        <x:f>IF($A112="","",COUNTIFS(Base_Lancamentos!$B:$B,$A112,Base_Lancamentos!$D:$D,"Intervenção"))</x:f>
      </x:c>
      <x:c r="G112" s="30" t="str">
        <x:f>IF($A112="","",IF($D112&lt;=0,"ESGOTADO",IF($D112&lt;=Config!$H$2,"SALDO CRÍTICO",IF($D112&lt;=Config!$H$3,"SALDO BAIXO","OK"))))</x:f>
      </x:c>
      <x:c r="H112" s="30" t="str">
        <x:f>IF($A112="","",IF($G112="ESGOTADO","Enviar proposta de novo pack",IF($G112="SALDO CRÍTICO","Contactar cliente para renovação",IF($G112="SALDO BAIXO","Acompanhar saldo","Sem ação imediata"))))</x:f>
      </x:c>
    </x:row>
    <x:row r="113">
      <x:c r="A113" s="30" t="str">
        <x:f>IF(Config!A105="","",Config!A105)</x:f>
      </x:c>
      <x:c r="B113" s="34" t="str">
        <x:f>IF($A113="","",SUMIFS(Base_Lancamentos!$H:$H,Base_Lancamentos!$B:$B,$A113))</x:f>
      </x:c>
      <x:c r="C113" s="34" t="str">
        <x:f>IF($A113="","",SUMIFS(Base_Lancamentos!$I:$I,Base_Lancamentos!$B:$B,$A113))</x:f>
      </x:c>
      <x:c r="D113" s="34" t="str">
        <x:f>IF($A113="","",B113-C113)</x:f>
      </x:c>
      <x:c r="E113" s="32" t="str">
        <x:f>IF($A113="","",IFERROR(MAXIFS(Base_Lancamentos!$C:$C,Base_Lancamentos!$B:$B,$A113,Base_Lancamentos!$D:$D,"Intervenção"),""))</x:f>
      </x:c>
      <x:c r="F113" s="60" t="str">
        <x:f>IF($A113="","",COUNTIFS(Base_Lancamentos!$B:$B,$A113,Base_Lancamentos!$D:$D,"Intervenção"))</x:f>
      </x:c>
      <x:c r="G113" s="30" t="str">
        <x:f>IF($A113="","",IF($D113&lt;=0,"ESGOTADO",IF($D113&lt;=Config!$H$2,"SALDO CRÍTICO",IF($D113&lt;=Config!$H$3,"SALDO BAIXO","OK"))))</x:f>
      </x:c>
      <x:c r="H113" s="30" t="str">
        <x:f>IF($A113="","",IF($G113="ESGOTADO","Enviar proposta de novo pack",IF($G113="SALDO CRÍTICO","Contactar cliente para renovação",IF($G113="SALDO BAIXO","Acompanhar saldo","Sem ação imediata"))))</x:f>
      </x:c>
    </x:row>
    <x:row r="114">
      <x:c r="A114" s="30" t="str">
        <x:f>IF(Config!A106="","",Config!A106)</x:f>
      </x:c>
      <x:c r="B114" s="34" t="str">
        <x:f>IF($A114="","",SUMIFS(Base_Lancamentos!$H:$H,Base_Lancamentos!$B:$B,$A114))</x:f>
      </x:c>
      <x:c r="C114" s="34" t="str">
        <x:f>IF($A114="","",SUMIFS(Base_Lancamentos!$I:$I,Base_Lancamentos!$B:$B,$A114))</x:f>
      </x:c>
      <x:c r="D114" s="34" t="str">
        <x:f>IF($A114="","",B114-C114)</x:f>
      </x:c>
      <x:c r="E114" s="32" t="str">
        <x:f>IF($A114="","",IFERROR(MAXIFS(Base_Lancamentos!$C:$C,Base_Lancamentos!$B:$B,$A114,Base_Lancamentos!$D:$D,"Intervenção"),""))</x:f>
      </x:c>
      <x:c r="F114" s="60" t="str">
        <x:f>IF($A114="","",COUNTIFS(Base_Lancamentos!$B:$B,$A114,Base_Lancamentos!$D:$D,"Intervenção"))</x:f>
      </x:c>
      <x:c r="G114" s="30" t="str">
        <x:f>IF($A114="","",IF($D114&lt;=0,"ESGOTADO",IF($D114&lt;=Config!$H$2,"SALDO CRÍTICO",IF($D114&lt;=Config!$H$3,"SALDO BAIXO","OK"))))</x:f>
      </x:c>
      <x:c r="H114" s="30" t="str">
        <x:f>IF($A114="","",IF($G114="ESGOTADO","Enviar proposta de novo pack",IF($G114="SALDO CRÍTICO","Contactar cliente para renovação",IF($G114="SALDO BAIXO","Acompanhar saldo","Sem ação imediata"))))</x:f>
      </x:c>
    </x:row>
    <x:row r="115">
      <x:c r="A115" s="30" t="str">
        <x:f>IF(Config!A107="","",Config!A107)</x:f>
      </x:c>
      <x:c r="B115" s="34" t="str">
        <x:f>IF($A115="","",SUMIFS(Base_Lancamentos!$H:$H,Base_Lancamentos!$B:$B,$A115))</x:f>
      </x:c>
      <x:c r="C115" s="34" t="str">
        <x:f>IF($A115="","",SUMIFS(Base_Lancamentos!$I:$I,Base_Lancamentos!$B:$B,$A115))</x:f>
      </x:c>
      <x:c r="D115" s="34" t="str">
        <x:f>IF($A115="","",B115-C115)</x:f>
      </x:c>
      <x:c r="E115" s="32" t="str">
        <x:f>IF($A115="","",IFERROR(MAXIFS(Base_Lancamentos!$C:$C,Base_Lancamentos!$B:$B,$A115,Base_Lancamentos!$D:$D,"Intervenção"),""))</x:f>
      </x:c>
      <x:c r="F115" s="60" t="str">
        <x:f>IF($A115="","",COUNTIFS(Base_Lancamentos!$B:$B,$A115,Base_Lancamentos!$D:$D,"Intervenção"))</x:f>
      </x:c>
      <x:c r="G115" s="30" t="str">
        <x:f>IF($A115="","",IF($D115&lt;=0,"ESGOTADO",IF($D115&lt;=Config!$H$2,"SALDO CRÍTICO",IF($D115&lt;=Config!$H$3,"SALDO BAIXO","OK"))))</x:f>
      </x:c>
      <x:c r="H115" s="30" t="str">
        <x:f>IF($A115="","",IF($G115="ESGOTADO","Enviar proposta de novo pack",IF($G115="SALDO CRÍTICO","Contactar cliente para renovação",IF($G115="SALDO BAIXO","Acompanhar saldo","Sem ação imediata"))))</x:f>
      </x:c>
    </x:row>
    <x:row r="116">
      <x:c r="A116" s="30" t="str">
        <x:f>IF(Config!A108="","",Config!A108)</x:f>
      </x:c>
      <x:c r="B116" s="34" t="str">
        <x:f>IF($A116="","",SUMIFS(Base_Lancamentos!$H:$H,Base_Lancamentos!$B:$B,$A116))</x:f>
      </x:c>
      <x:c r="C116" s="34" t="str">
        <x:f>IF($A116="","",SUMIFS(Base_Lancamentos!$I:$I,Base_Lancamentos!$B:$B,$A116))</x:f>
      </x:c>
      <x:c r="D116" s="34" t="str">
        <x:f>IF($A116="","",B116-C116)</x:f>
      </x:c>
      <x:c r="E116" s="32" t="str">
        <x:f>IF($A116="","",IFERROR(MAXIFS(Base_Lancamentos!$C:$C,Base_Lancamentos!$B:$B,$A116,Base_Lancamentos!$D:$D,"Intervenção"),""))</x:f>
      </x:c>
      <x:c r="F116" s="60" t="str">
        <x:f>IF($A116="","",COUNTIFS(Base_Lancamentos!$B:$B,$A116,Base_Lancamentos!$D:$D,"Intervenção"))</x:f>
      </x:c>
      <x:c r="G116" s="30" t="str">
        <x:f>IF($A116="","",IF($D116&lt;=0,"ESGOTADO",IF($D116&lt;=Config!$H$2,"SALDO CRÍTICO",IF($D116&lt;=Config!$H$3,"SALDO BAIXO","OK"))))</x:f>
      </x:c>
      <x:c r="H116" s="30" t="str">
        <x:f>IF($A116="","",IF($G116="ESGOTADO","Enviar proposta de novo pack",IF($G116="SALDO CRÍTICO","Contactar cliente para renovação",IF($G116="SALDO BAIXO","Acompanhar saldo","Sem ação imediata"))))</x:f>
      </x:c>
    </x:row>
    <x:row r="117">
      <x:c r="A117" s="30" t="str">
        <x:f>IF(Config!A109="","",Config!A109)</x:f>
      </x:c>
      <x:c r="B117" s="34" t="str">
        <x:f>IF($A117="","",SUMIFS(Base_Lancamentos!$H:$H,Base_Lancamentos!$B:$B,$A117))</x:f>
      </x:c>
      <x:c r="C117" s="34" t="str">
        <x:f>IF($A117="","",SUMIFS(Base_Lancamentos!$I:$I,Base_Lancamentos!$B:$B,$A117))</x:f>
      </x:c>
      <x:c r="D117" s="34" t="str">
        <x:f>IF($A117="","",B117-C117)</x:f>
      </x:c>
      <x:c r="E117" s="32" t="str">
        <x:f>IF($A117="","",IFERROR(MAXIFS(Base_Lancamentos!$C:$C,Base_Lancamentos!$B:$B,$A117,Base_Lancamentos!$D:$D,"Intervenção"),""))</x:f>
      </x:c>
      <x:c r="F117" s="60" t="str">
        <x:f>IF($A117="","",COUNTIFS(Base_Lancamentos!$B:$B,$A117,Base_Lancamentos!$D:$D,"Intervenção"))</x:f>
      </x:c>
      <x:c r="G117" s="30" t="str">
        <x:f>IF($A117="","",IF($D117&lt;=0,"ESGOTADO",IF($D117&lt;=Config!$H$2,"SALDO CRÍTICO",IF($D117&lt;=Config!$H$3,"SALDO BAIXO","OK"))))</x:f>
      </x:c>
      <x:c r="H117" s="30" t="str">
        <x:f>IF($A117="","",IF($G117="ESGOTADO","Enviar proposta de novo pack",IF($G117="SALDO CRÍTICO","Contactar cliente para renovação",IF($G117="SALDO BAIXO","Acompanhar saldo","Sem ação imediata"))))</x:f>
      </x:c>
    </x:row>
    <x:row r="118">
      <x:c r="A118" s="30" t="str">
        <x:f>IF(Config!A110="","",Config!A110)</x:f>
      </x:c>
      <x:c r="B118" s="34" t="str">
        <x:f>IF($A118="","",SUMIFS(Base_Lancamentos!$H:$H,Base_Lancamentos!$B:$B,$A118))</x:f>
      </x:c>
      <x:c r="C118" s="34" t="str">
        <x:f>IF($A118="","",SUMIFS(Base_Lancamentos!$I:$I,Base_Lancamentos!$B:$B,$A118))</x:f>
      </x:c>
      <x:c r="D118" s="34" t="str">
        <x:f>IF($A118="","",B118-C118)</x:f>
      </x:c>
      <x:c r="E118" s="32" t="str">
        <x:f>IF($A118="","",IFERROR(MAXIFS(Base_Lancamentos!$C:$C,Base_Lancamentos!$B:$B,$A118,Base_Lancamentos!$D:$D,"Intervenção"),""))</x:f>
      </x:c>
      <x:c r="F118" s="60" t="str">
        <x:f>IF($A118="","",COUNTIFS(Base_Lancamentos!$B:$B,$A118,Base_Lancamentos!$D:$D,"Intervenção"))</x:f>
      </x:c>
      <x:c r="G118" s="30" t="str">
        <x:f>IF($A118="","",IF($D118&lt;=0,"ESGOTADO",IF($D118&lt;=Config!$H$2,"SALDO CRÍTICO",IF($D118&lt;=Config!$H$3,"SALDO BAIXO","OK"))))</x:f>
      </x:c>
      <x:c r="H118" s="30" t="str">
        <x:f>IF($A118="","",IF($G118="ESGOTADO","Enviar proposta de novo pack",IF($G118="SALDO CRÍTICO","Contactar cliente para renovação",IF($G118="SALDO BAIXO","Acompanhar saldo","Sem ação imediata"))))</x:f>
      </x:c>
    </x:row>
    <x:row r="119">
      <x:c r="A119" s="30" t="str">
        <x:f>IF(Config!A111="","",Config!A111)</x:f>
      </x:c>
      <x:c r="B119" s="34" t="str">
        <x:f>IF($A119="","",SUMIFS(Base_Lancamentos!$H:$H,Base_Lancamentos!$B:$B,$A119))</x:f>
      </x:c>
      <x:c r="C119" s="34" t="str">
        <x:f>IF($A119="","",SUMIFS(Base_Lancamentos!$I:$I,Base_Lancamentos!$B:$B,$A119))</x:f>
      </x:c>
      <x:c r="D119" s="34" t="str">
        <x:f>IF($A119="","",B119-C119)</x:f>
      </x:c>
      <x:c r="E119" s="32" t="str">
        <x:f>IF($A119="","",IFERROR(MAXIFS(Base_Lancamentos!$C:$C,Base_Lancamentos!$B:$B,$A119,Base_Lancamentos!$D:$D,"Intervenção"),""))</x:f>
      </x:c>
      <x:c r="F119" s="60" t="str">
        <x:f>IF($A119="","",COUNTIFS(Base_Lancamentos!$B:$B,$A119,Base_Lancamentos!$D:$D,"Intervenção"))</x:f>
      </x:c>
      <x:c r="G119" s="30" t="str">
        <x:f>IF($A119="","",IF($D119&lt;=0,"ESGOTADO",IF($D119&lt;=Config!$H$2,"SALDO CRÍTICO",IF($D119&lt;=Config!$H$3,"SALDO BAIXO","OK"))))</x:f>
      </x:c>
      <x:c r="H119" s="30" t="str">
        <x:f>IF($A119="","",IF($G119="ESGOTADO","Enviar proposta de novo pack",IF($G119="SALDO CRÍTICO","Contactar cliente para renovação",IF($G119="SALDO BAIXO","Acompanhar saldo","Sem ação imediata"))))</x:f>
      </x:c>
    </x:row>
    <x:row r="120">
      <x:c r="A120" s="30" t="str">
        <x:f>IF(Config!A112="","",Config!A112)</x:f>
      </x:c>
      <x:c r="B120" s="34" t="str">
        <x:f>IF($A120="","",SUMIFS(Base_Lancamentos!$H:$H,Base_Lancamentos!$B:$B,$A120))</x:f>
      </x:c>
      <x:c r="C120" s="34" t="str">
        <x:f>IF($A120="","",SUMIFS(Base_Lancamentos!$I:$I,Base_Lancamentos!$B:$B,$A120))</x:f>
      </x:c>
      <x:c r="D120" s="34" t="str">
        <x:f>IF($A120="","",B120-C120)</x:f>
      </x:c>
      <x:c r="E120" s="32" t="str">
        <x:f>IF($A120="","",IFERROR(MAXIFS(Base_Lancamentos!$C:$C,Base_Lancamentos!$B:$B,$A120,Base_Lancamentos!$D:$D,"Intervenção"),""))</x:f>
      </x:c>
      <x:c r="F120" s="60" t="str">
        <x:f>IF($A120="","",COUNTIFS(Base_Lancamentos!$B:$B,$A120,Base_Lancamentos!$D:$D,"Intervenção"))</x:f>
      </x:c>
      <x:c r="G120" s="30" t="str">
        <x:f>IF($A120="","",IF($D120&lt;=0,"ESGOTADO",IF($D120&lt;=Config!$H$2,"SALDO CRÍTICO",IF($D120&lt;=Config!$H$3,"SALDO BAIXO","OK"))))</x:f>
      </x:c>
      <x:c r="H120" s="30" t="str">
        <x:f>IF($A120="","",IF($G120="ESGOTADO","Enviar proposta de novo pack",IF($G120="SALDO CRÍTICO","Contactar cliente para renovação",IF($G120="SALDO BAIXO","Acompanhar saldo","Sem ação imediata"))))</x:f>
      </x:c>
    </x:row>
    <x:row r="121">
      <x:c r="A121" s="30" t="str">
        <x:f>IF(Config!A113="","",Config!A113)</x:f>
      </x:c>
      <x:c r="B121" s="34" t="str">
        <x:f>IF($A121="","",SUMIFS(Base_Lancamentos!$H:$H,Base_Lancamentos!$B:$B,$A121))</x:f>
      </x:c>
      <x:c r="C121" s="34" t="str">
        <x:f>IF($A121="","",SUMIFS(Base_Lancamentos!$I:$I,Base_Lancamentos!$B:$B,$A121))</x:f>
      </x:c>
      <x:c r="D121" s="34" t="str">
        <x:f>IF($A121="","",B121-C121)</x:f>
      </x:c>
      <x:c r="E121" s="32" t="str">
        <x:f>IF($A121="","",IFERROR(MAXIFS(Base_Lancamentos!$C:$C,Base_Lancamentos!$B:$B,$A121,Base_Lancamentos!$D:$D,"Intervenção"),""))</x:f>
      </x:c>
      <x:c r="F121" s="60" t="str">
        <x:f>IF($A121="","",COUNTIFS(Base_Lancamentos!$B:$B,$A121,Base_Lancamentos!$D:$D,"Intervenção"))</x:f>
      </x:c>
      <x:c r="G121" s="30" t="str">
        <x:f>IF($A121="","",IF($D121&lt;=0,"ESGOTADO",IF($D121&lt;=Config!$H$2,"SALDO CRÍTICO",IF($D121&lt;=Config!$H$3,"SALDO BAIXO","OK"))))</x:f>
      </x:c>
      <x:c r="H121" s="30" t="str">
        <x:f>IF($A121="","",IF($G121="ESGOTADO","Enviar proposta de novo pack",IF($G121="SALDO CRÍTICO","Contactar cliente para renovação",IF($G121="SALDO BAIXO","Acompanhar saldo","Sem ação imediata"))))</x:f>
      </x:c>
    </x:row>
    <x:row r="122">
      <x:c r="A122" s="30" t="str">
        <x:f>IF(Config!A114="","",Config!A114)</x:f>
      </x:c>
      <x:c r="B122" s="34" t="str">
        <x:f>IF($A122="","",SUMIFS(Base_Lancamentos!$H:$H,Base_Lancamentos!$B:$B,$A122))</x:f>
      </x:c>
      <x:c r="C122" s="34" t="str">
        <x:f>IF($A122="","",SUMIFS(Base_Lancamentos!$I:$I,Base_Lancamentos!$B:$B,$A122))</x:f>
      </x:c>
      <x:c r="D122" s="34" t="str">
        <x:f>IF($A122="","",B122-C122)</x:f>
      </x:c>
      <x:c r="E122" s="32" t="str">
        <x:f>IF($A122="","",IFERROR(MAXIFS(Base_Lancamentos!$C:$C,Base_Lancamentos!$B:$B,$A122,Base_Lancamentos!$D:$D,"Intervenção"),""))</x:f>
      </x:c>
      <x:c r="F122" s="60" t="str">
        <x:f>IF($A122="","",COUNTIFS(Base_Lancamentos!$B:$B,$A122,Base_Lancamentos!$D:$D,"Intervenção"))</x:f>
      </x:c>
      <x:c r="G122" s="30" t="str">
        <x:f>IF($A122="","",IF($D122&lt;=0,"ESGOTADO",IF($D122&lt;=Config!$H$2,"SALDO CRÍTICO",IF($D122&lt;=Config!$H$3,"SALDO BAIXO","OK"))))</x:f>
      </x:c>
      <x:c r="H122" s="30" t="str">
        <x:f>IF($A122="","",IF($G122="ESGOTADO","Enviar proposta de novo pack",IF($G122="SALDO CRÍTICO","Contactar cliente para renovação",IF($G122="SALDO BAIXO","Acompanhar saldo","Sem ação imediata"))))</x:f>
      </x:c>
    </x:row>
    <x:row r="123">
      <x:c r="A123" s="30" t="str">
        <x:f>IF(Config!A115="","",Config!A115)</x:f>
      </x:c>
      <x:c r="B123" s="34" t="str">
        <x:f>IF($A123="","",SUMIFS(Base_Lancamentos!$H:$H,Base_Lancamentos!$B:$B,$A123))</x:f>
      </x:c>
      <x:c r="C123" s="34" t="str">
        <x:f>IF($A123="","",SUMIFS(Base_Lancamentos!$I:$I,Base_Lancamentos!$B:$B,$A123))</x:f>
      </x:c>
      <x:c r="D123" s="34" t="str">
        <x:f>IF($A123="","",B123-C123)</x:f>
      </x:c>
      <x:c r="E123" s="32" t="str">
        <x:f>IF($A123="","",IFERROR(MAXIFS(Base_Lancamentos!$C:$C,Base_Lancamentos!$B:$B,$A123,Base_Lancamentos!$D:$D,"Intervenção"),""))</x:f>
      </x:c>
      <x:c r="F123" s="60" t="str">
        <x:f>IF($A123="","",COUNTIFS(Base_Lancamentos!$B:$B,$A123,Base_Lancamentos!$D:$D,"Intervenção"))</x:f>
      </x:c>
      <x:c r="G123" s="30" t="str">
        <x:f>IF($A123="","",IF($D123&lt;=0,"ESGOTADO",IF($D123&lt;=Config!$H$2,"SALDO CRÍTICO",IF($D123&lt;=Config!$H$3,"SALDO BAIXO","OK"))))</x:f>
      </x:c>
      <x:c r="H123" s="30" t="str">
        <x:f>IF($A123="","",IF($G123="ESGOTADO","Enviar proposta de novo pack",IF($G123="SALDO CRÍTICO","Contactar cliente para renovação",IF($G123="SALDO BAIXO","Acompanhar saldo","Sem ação imediata"))))</x:f>
      </x:c>
    </x:row>
    <x:row r="124">
      <x:c r="A124" s="30" t="str">
        <x:f>IF(Config!A116="","",Config!A116)</x:f>
      </x:c>
      <x:c r="B124" s="34" t="str">
        <x:f>IF($A124="","",SUMIFS(Base_Lancamentos!$H:$H,Base_Lancamentos!$B:$B,$A124))</x:f>
      </x:c>
      <x:c r="C124" s="34" t="str">
        <x:f>IF($A124="","",SUMIFS(Base_Lancamentos!$I:$I,Base_Lancamentos!$B:$B,$A124))</x:f>
      </x:c>
      <x:c r="D124" s="34" t="str">
        <x:f>IF($A124="","",B124-C124)</x:f>
      </x:c>
      <x:c r="E124" s="32" t="str">
        <x:f>IF($A124="","",IFERROR(MAXIFS(Base_Lancamentos!$C:$C,Base_Lancamentos!$B:$B,$A124,Base_Lancamentos!$D:$D,"Intervenção"),""))</x:f>
      </x:c>
      <x:c r="F124" s="60" t="str">
        <x:f>IF($A124="","",COUNTIFS(Base_Lancamentos!$B:$B,$A124,Base_Lancamentos!$D:$D,"Intervenção"))</x:f>
      </x:c>
      <x:c r="G124" s="30" t="str">
        <x:f>IF($A124="","",IF($D124&lt;=0,"ESGOTADO",IF($D124&lt;=Config!$H$2,"SALDO CRÍTICO",IF($D124&lt;=Config!$H$3,"SALDO BAIXO","OK"))))</x:f>
      </x:c>
      <x:c r="H124" s="30" t="str">
        <x:f>IF($A124="","",IF($G124="ESGOTADO","Enviar proposta de novo pack",IF($G124="SALDO CRÍTICO","Contactar cliente para renovação",IF($G124="SALDO BAIXO","Acompanhar saldo","Sem ação imediata"))))</x:f>
      </x:c>
    </x:row>
    <x:row r="125">
      <x:c r="A125" s="30" t="str">
        <x:f>IF(Config!A117="","",Config!A117)</x:f>
      </x:c>
      <x:c r="B125" s="34" t="str">
        <x:f>IF($A125="","",SUMIFS(Base_Lancamentos!$H:$H,Base_Lancamentos!$B:$B,$A125))</x:f>
      </x:c>
      <x:c r="C125" s="34" t="str">
        <x:f>IF($A125="","",SUMIFS(Base_Lancamentos!$I:$I,Base_Lancamentos!$B:$B,$A125))</x:f>
      </x:c>
      <x:c r="D125" s="34" t="str">
        <x:f>IF($A125="","",B125-C125)</x:f>
      </x:c>
      <x:c r="E125" s="32" t="str">
        <x:f>IF($A125="","",IFERROR(MAXIFS(Base_Lancamentos!$C:$C,Base_Lancamentos!$B:$B,$A125,Base_Lancamentos!$D:$D,"Intervenção"),""))</x:f>
      </x:c>
      <x:c r="F125" s="60" t="str">
        <x:f>IF($A125="","",COUNTIFS(Base_Lancamentos!$B:$B,$A125,Base_Lancamentos!$D:$D,"Intervenção"))</x:f>
      </x:c>
      <x:c r="G125" s="30" t="str">
        <x:f>IF($A125="","",IF($D125&lt;=0,"ESGOTADO",IF($D125&lt;=Config!$H$2,"SALDO CRÍTICO",IF($D125&lt;=Config!$H$3,"SALDO BAIXO","OK"))))</x:f>
      </x:c>
      <x:c r="H125" s="30" t="str">
        <x:f>IF($A125="","",IF($G125="ESGOTADO","Enviar proposta de novo pack",IF($G125="SALDO CRÍTICO","Contactar cliente para renovação",IF($G125="SALDO BAIXO","Acompanhar saldo","Sem ação imediata"))))</x:f>
      </x:c>
    </x:row>
    <x:row r="126">
      <x:c r="A126" s="30" t="str">
        <x:f>IF(Config!A118="","",Config!A118)</x:f>
      </x:c>
      <x:c r="B126" s="34" t="str">
        <x:f>IF($A126="","",SUMIFS(Base_Lancamentos!$H:$H,Base_Lancamentos!$B:$B,$A126))</x:f>
      </x:c>
      <x:c r="C126" s="34" t="str">
        <x:f>IF($A126="","",SUMIFS(Base_Lancamentos!$I:$I,Base_Lancamentos!$B:$B,$A126))</x:f>
      </x:c>
      <x:c r="D126" s="34" t="str">
        <x:f>IF($A126="","",B126-C126)</x:f>
      </x:c>
      <x:c r="E126" s="32" t="str">
        <x:f>IF($A126="","",IFERROR(MAXIFS(Base_Lancamentos!$C:$C,Base_Lancamentos!$B:$B,$A126,Base_Lancamentos!$D:$D,"Intervenção"),""))</x:f>
      </x:c>
      <x:c r="F126" s="60" t="str">
        <x:f>IF($A126="","",COUNTIFS(Base_Lancamentos!$B:$B,$A126,Base_Lancamentos!$D:$D,"Intervenção"))</x:f>
      </x:c>
      <x:c r="G126" s="30" t="str">
        <x:f>IF($A126="","",IF($D126&lt;=0,"ESGOTADO",IF($D126&lt;=Config!$H$2,"SALDO CRÍTICO",IF($D126&lt;=Config!$H$3,"SALDO BAIXO","OK"))))</x:f>
      </x:c>
      <x:c r="H126" s="30" t="str">
        <x:f>IF($A126="","",IF($G126="ESGOTADO","Enviar proposta de novo pack",IF($G126="SALDO CRÍTICO","Contactar cliente para renovação",IF($G126="SALDO BAIXO","Acompanhar saldo","Sem ação imediata"))))</x:f>
      </x:c>
    </x:row>
    <x:row r="127">
      <x:c r="A127" s="30" t="str">
        <x:f>IF(Config!A119="","",Config!A119)</x:f>
      </x:c>
      <x:c r="B127" s="34" t="str">
        <x:f>IF($A127="","",SUMIFS(Base_Lancamentos!$H:$H,Base_Lancamentos!$B:$B,$A127))</x:f>
      </x:c>
      <x:c r="C127" s="34" t="str">
        <x:f>IF($A127="","",SUMIFS(Base_Lancamentos!$I:$I,Base_Lancamentos!$B:$B,$A127))</x:f>
      </x:c>
      <x:c r="D127" s="34" t="str">
        <x:f>IF($A127="","",B127-C127)</x:f>
      </x:c>
      <x:c r="E127" s="32" t="str">
        <x:f>IF($A127="","",IFERROR(MAXIFS(Base_Lancamentos!$C:$C,Base_Lancamentos!$B:$B,$A127,Base_Lancamentos!$D:$D,"Intervenção"),""))</x:f>
      </x:c>
      <x:c r="F127" s="60" t="str">
        <x:f>IF($A127="","",COUNTIFS(Base_Lancamentos!$B:$B,$A127,Base_Lancamentos!$D:$D,"Intervenção"))</x:f>
      </x:c>
      <x:c r="G127" s="30" t="str">
        <x:f>IF($A127="","",IF($D127&lt;=0,"ESGOTADO",IF($D127&lt;=Config!$H$2,"SALDO CRÍTICO",IF($D127&lt;=Config!$H$3,"SALDO BAIXO","OK"))))</x:f>
      </x:c>
      <x:c r="H127" s="30" t="str">
        <x:f>IF($A127="","",IF($G127="ESGOTADO","Enviar proposta de novo pack",IF($G127="SALDO CRÍTICO","Contactar cliente para renovação",IF($G127="SALDO BAIXO","Acompanhar saldo","Sem ação imediata"))))</x:f>
      </x:c>
    </x:row>
    <x:row r="128">
      <x:c r="A128" s="30" t="str">
        <x:f>IF(Config!A120="","",Config!A120)</x:f>
      </x:c>
      <x:c r="B128" s="34" t="str">
        <x:f>IF($A128="","",SUMIFS(Base_Lancamentos!$H:$H,Base_Lancamentos!$B:$B,$A128))</x:f>
      </x:c>
      <x:c r="C128" s="34" t="str">
        <x:f>IF($A128="","",SUMIFS(Base_Lancamentos!$I:$I,Base_Lancamentos!$B:$B,$A128))</x:f>
      </x:c>
      <x:c r="D128" s="34" t="str">
        <x:f>IF($A128="","",B128-C128)</x:f>
      </x:c>
      <x:c r="E128" s="32" t="str">
        <x:f>IF($A128="","",IFERROR(MAXIFS(Base_Lancamentos!$C:$C,Base_Lancamentos!$B:$B,$A128,Base_Lancamentos!$D:$D,"Intervenção"),""))</x:f>
      </x:c>
      <x:c r="F128" s="60" t="str">
        <x:f>IF($A128="","",COUNTIFS(Base_Lancamentos!$B:$B,$A128,Base_Lancamentos!$D:$D,"Intervenção"))</x:f>
      </x:c>
      <x:c r="G128" s="30" t="str">
        <x:f>IF($A128="","",IF($D128&lt;=0,"ESGOTADO",IF($D128&lt;=Config!$H$2,"SALDO CRÍTICO",IF($D128&lt;=Config!$H$3,"SALDO BAIXO","OK"))))</x:f>
      </x:c>
      <x:c r="H128" s="30" t="str">
        <x:f>IF($A128="","",IF($G128="ESGOTADO","Enviar proposta de novo pack",IF($G128="SALDO CRÍTICO","Contactar cliente para renovação",IF($G128="SALDO BAIXO","Acompanhar saldo","Sem ação imediata"))))</x:f>
      </x:c>
    </x:row>
    <x:row r="129">
      <x:c r="A129" s="30" t="str">
        <x:f>IF(Config!A121="","",Config!A121)</x:f>
      </x:c>
      <x:c r="B129" s="34" t="str">
        <x:f>IF($A129="","",SUMIFS(Base_Lancamentos!$H:$H,Base_Lancamentos!$B:$B,$A129))</x:f>
      </x:c>
      <x:c r="C129" s="34" t="str">
        <x:f>IF($A129="","",SUMIFS(Base_Lancamentos!$I:$I,Base_Lancamentos!$B:$B,$A129))</x:f>
      </x:c>
      <x:c r="D129" s="34" t="str">
        <x:f>IF($A129="","",B129-C129)</x:f>
      </x:c>
      <x:c r="E129" s="32" t="str">
        <x:f>IF($A129="","",IFERROR(MAXIFS(Base_Lancamentos!$C:$C,Base_Lancamentos!$B:$B,$A129,Base_Lancamentos!$D:$D,"Intervenção"),""))</x:f>
      </x:c>
      <x:c r="F129" s="60" t="str">
        <x:f>IF($A129="","",COUNTIFS(Base_Lancamentos!$B:$B,$A129,Base_Lancamentos!$D:$D,"Intervenção"))</x:f>
      </x:c>
      <x:c r="G129" s="30" t="str">
        <x:f>IF($A129="","",IF($D129&lt;=0,"ESGOTADO",IF($D129&lt;=Config!$H$2,"SALDO CRÍTICO",IF($D129&lt;=Config!$H$3,"SALDO BAIXO","OK"))))</x:f>
      </x:c>
      <x:c r="H129" s="30" t="str">
        <x:f>IF($A129="","",IF($G129="ESGOTADO","Enviar proposta de novo pack",IF($G129="SALDO CRÍTICO","Contactar cliente para renovação",IF($G129="SALDO BAIXO","Acompanhar saldo","Sem ação imediata"))))</x:f>
      </x:c>
    </x:row>
    <x:row r="130">
      <x:c r="A130" s="30" t="str">
        <x:f>IF(Config!A122="","",Config!A122)</x:f>
      </x:c>
      <x:c r="B130" s="34" t="str">
        <x:f>IF($A130="","",SUMIFS(Base_Lancamentos!$H:$H,Base_Lancamentos!$B:$B,$A130))</x:f>
      </x:c>
      <x:c r="C130" s="34" t="str">
        <x:f>IF($A130="","",SUMIFS(Base_Lancamentos!$I:$I,Base_Lancamentos!$B:$B,$A130))</x:f>
      </x:c>
      <x:c r="D130" s="34" t="str">
        <x:f>IF($A130="","",B130-C130)</x:f>
      </x:c>
      <x:c r="E130" s="32" t="str">
        <x:f>IF($A130="","",IFERROR(MAXIFS(Base_Lancamentos!$C:$C,Base_Lancamentos!$B:$B,$A130,Base_Lancamentos!$D:$D,"Intervenção"),""))</x:f>
      </x:c>
      <x:c r="F130" s="60" t="str">
        <x:f>IF($A130="","",COUNTIFS(Base_Lancamentos!$B:$B,$A130,Base_Lancamentos!$D:$D,"Intervenção"))</x:f>
      </x:c>
      <x:c r="G130" s="30" t="str">
        <x:f>IF($A130="","",IF($D130&lt;=0,"ESGOTADO",IF($D130&lt;=Config!$H$2,"SALDO CRÍTICO",IF($D130&lt;=Config!$H$3,"SALDO BAIXO","OK"))))</x:f>
      </x:c>
      <x:c r="H130" s="30" t="str">
        <x:f>IF($A130="","",IF($G130="ESGOTADO","Enviar proposta de novo pack",IF($G130="SALDO CRÍTICO","Contactar cliente para renovação",IF($G130="SALDO BAIXO","Acompanhar saldo","Sem ação imediata"))))</x:f>
      </x:c>
    </x:row>
    <x:row r="131">
      <x:c r="A131" s="30" t="str">
        <x:f>IF(Config!A123="","",Config!A123)</x:f>
      </x:c>
      <x:c r="B131" s="34" t="str">
        <x:f>IF($A131="","",SUMIFS(Base_Lancamentos!$H:$H,Base_Lancamentos!$B:$B,$A131))</x:f>
      </x:c>
      <x:c r="C131" s="34" t="str">
        <x:f>IF($A131="","",SUMIFS(Base_Lancamentos!$I:$I,Base_Lancamentos!$B:$B,$A131))</x:f>
      </x:c>
      <x:c r="D131" s="34" t="str">
        <x:f>IF($A131="","",B131-C131)</x:f>
      </x:c>
      <x:c r="E131" s="32" t="str">
        <x:f>IF($A131="","",IFERROR(MAXIFS(Base_Lancamentos!$C:$C,Base_Lancamentos!$B:$B,$A131,Base_Lancamentos!$D:$D,"Intervenção"),""))</x:f>
      </x:c>
      <x:c r="F131" s="60" t="str">
        <x:f>IF($A131="","",COUNTIFS(Base_Lancamentos!$B:$B,$A131,Base_Lancamentos!$D:$D,"Intervenção"))</x:f>
      </x:c>
      <x:c r="G131" s="30" t="str">
        <x:f>IF($A131="","",IF($D131&lt;=0,"ESGOTADO",IF($D131&lt;=Config!$H$2,"SALDO CRÍTICO",IF($D131&lt;=Config!$H$3,"SALDO BAIXO","OK"))))</x:f>
      </x:c>
      <x:c r="H131" s="30" t="str">
        <x:f>IF($A131="","",IF($G131="ESGOTADO","Enviar proposta de novo pack",IF($G131="SALDO CRÍTICO","Contactar cliente para renovação",IF($G131="SALDO BAIXO","Acompanhar saldo","Sem ação imediata"))))</x:f>
      </x:c>
    </x:row>
    <x:row r="132">
      <x:c r="A132" s="30" t="str">
        <x:f>IF(Config!A124="","",Config!A124)</x:f>
      </x:c>
      <x:c r="B132" s="34" t="str">
        <x:f>IF($A132="","",SUMIFS(Base_Lancamentos!$H:$H,Base_Lancamentos!$B:$B,$A132))</x:f>
      </x:c>
      <x:c r="C132" s="34" t="str">
        <x:f>IF($A132="","",SUMIFS(Base_Lancamentos!$I:$I,Base_Lancamentos!$B:$B,$A132))</x:f>
      </x:c>
      <x:c r="D132" s="34" t="str">
        <x:f>IF($A132="","",B132-C132)</x:f>
      </x:c>
      <x:c r="E132" s="32" t="str">
        <x:f>IF($A132="","",IFERROR(MAXIFS(Base_Lancamentos!$C:$C,Base_Lancamentos!$B:$B,$A132,Base_Lancamentos!$D:$D,"Intervenção"),""))</x:f>
      </x:c>
      <x:c r="F132" s="60" t="str">
        <x:f>IF($A132="","",COUNTIFS(Base_Lancamentos!$B:$B,$A132,Base_Lancamentos!$D:$D,"Intervenção"))</x:f>
      </x:c>
      <x:c r="G132" s="30" t="str">
        <x:f>IF($A132="","",IF($D132&lt;=0,"ESGOTADO",IF($D132&lt;=Config!$H$2,"SALDO CRÍTICO",IF($D132&lt;=Config!$H$3,"SALDO BAIXO","OK"))))</x:f>
      </x:c>
      <x:c r="H132" s="30" t="str">
        <x:f>IF($A132="","",IF($G132="ESGOTADO","Enviar proposta de novo pack",IF($G132="SALDO CRÍTICO","Contactar cliente para renovação",IF($G132="SALDO BAIXO","Acompanhar saldo","Sem ação imediata"))))</x:f>
      </x:c>
    </x:row>
    <x:row r="133">
      <x:c r="A133" s="30" t="str">
        <x:f>IF(Config!A125="","",Config!A125)</x:f>
      </x:c>
      <x:c r="B133" s="34" t="str">
        <x:f>IF($A133="","",SUMIFS(Base_Lancamentos!$H:$H,Base_Lancamentos!$B:$B,$A133))</x:f>
      </x:c>
      <x:c r="C133" s="34" t="str">
        <x:f>IF($A133="","",SUMIFS(Base_Lancamentos!$I:$I,Base_Lancamentos!$B:$B,$A133))</x:f>
      </x:c>
      <x:c r="D133" s="34" t="str">
        <x:f>IF($A133="","",B133-C133)</x:f>
      </x:c>
      <x:c r="E133" s="32" t="str">
        <x:f>IF($A133="","",IFERROR(MAXIFS(Base_Lancamentos!$C:$C,Base_Lancamentos!$B:$B,$A133,Base_Lancamentos!$D:$D,"Intervenção"),""))</x:f>
      </x:c>
      <x:c r="F133" s="60" t="str">
        <x:f>IF($A133="","",COUNTIFS(Base_Lancamentos!$B:$B,$A133,Base_Lancamentos!$D:$D,"Intervenção"))</x:f>
      </x:c>
      <x:c r="G133" s="30" t="str">
        <x:f>IF($A133="","",IF($D133&lt;=0,"ESGOTADO",IF($D133&lt;=Config!$H$2,"SALDO CRÍTICO",IF($D133&lt;=Config!$H$3,"SALDO BAIXO","OK"))))</x:f>
      </x:c>
      <x:c r="H133" s="30" t="str">
        <x:f>IF($A133="","",IF($G133="ESGOTADO","Enviar proposta de novo pack",IF($G133="SALDO CRÍTICO","Contactar cliente para renovação",IF($G133="SALDO BAIXO","Acompanhar saldo","Sem ação imediata"))))</x:f>
      </x:c>
    </x:row>
    <x:row r="134">
      <x:c r="A134" s="30" t="str">
        <x:f>IF(Config!A126="","",Config!A126)</x:f>
      </x:c>
      <x:c r="B134" s="34" t="str">
        <x:f>IF($A134="","",SUMIFS(Base_Lancamentos!$H:$H,Base_Lancamentos!$B:$B,$A134))</x:f>
      </x:c>
      <x:c r="C134" s="34" t="str">
        <x:f>IF($A134="","",SUMIFS(Base_Lancamentos!$I:$I,Base_Lancamentos!$B:$B,$A134))</x:f>
      </x:c>
      <x:c r="D134" s="34" t="str">
        <x:f>IF($A134="","",B134-C134)</x:f>
      </x:c>
      <x:c r="E134" s="32" t="str">
        <x:f>IF($A134="","",IFERROR(MAXIFS(Base_Lancamentos!$C:$C,Base_Lancamentos!$B:$B,$A134,Base_Lancamentos!$D:$D,"Intervenção"),""))</x:f>
      </x:c>
      <x:c r="F134" s="60" t="str">
        <x:f>IF($A134="","",COUNTIFS(Base_Lancamentos!$B:$B,$A134,Base_Lancamentos!$D:$D,"Intervenção"))</x:f>
      </x:c>
      <x:c r="G134" s="30" t="str">
        <x:f>IF($A134="","",IF($D134&lt;=0,"ESGOTADO",IF($D134&lt;=Config!$H$2,"SALDO CRÍTICO",IF($D134&lt;=Config!$H$3,"SALDO BAIXO","OK"))))</x:f>
      </x:c>
      <x:c r="H134" s="30" t="str">
        <x:f>IF($A134="","",IF($G134="ESGOTADO","Enviar proposta de novo pack",IF($G134="SALDO CRÍTICO","Contactar cliente para renovação",IF($G134="SALDO BAIXO","Acompanhar saldo","Sem ação imediata"))))</x:f>
      </x:c>
    </x:row>
    <x:row r="135">
      <x:c r="A135" s="30" t="str">
        <x:f>IF(Config!A127="","",Config!A127)</x:f>
      </x:c>
      <x:c r="B135" s="34" t="str">
        <x:f>IF($A135="","",SUMIFS(Base_Lancamentos!$H:$H,Base_Lancamentos!$B:$B,$A135))</x:f>
      </x:c>
      <x:c r="C135" s="34" t="str">
        <x:f>IF($A135="","",SUMIFS(Base_Lancamentos!$I:$I,Base_Lancamentos!$B:$B,$A135))</x:f>
      </x:c>
      <x:c r="D135" s="34" t="str">
        <x:f>IF($A135="","",B135-C135)</x:f>
      </x:c>
      <x:c r="E135" s="32" t="str">
        <x:f>IF($A135="","",IFERROR(MAXIFS(Base_Lancamentos!$C:$C,Base_Lancamentos!$B:$B,$A135,Base_Lancamentos!$D:$D,"Intervenção"),""))</x:f>
      </x:c>
      <x:c r="F135" s="60" t="str">
        <x:f>IF($A135="","",COUNTIFS(Base_Lancamentos!$B:$B,$A135,Base_Lancamentos!$D:$D,"Intervenção"))</x:f>
      </x:c>
      <x:c r="G135" s="30" t="str">
        <x:f>IF($A135="","",IF($D135&lt;=0,"ESGOTADO",IF($D135&lt;=Config!$H$2,"SALDO CRÍTICO",IF($D135&lt;=Config!$H$3,"SALDO BAIXO","OK"))))</x:f>
      </x:c>
      <x:c r="H135" s="30" t="str">
        <x:f>IF($A135="","",IF($G135="ESGOTADO","Enviar proposta de novo pack",IF($G135="SALDO CRÍTICO","Contactar cliente para renovação",IF($G135="SALDO BAIXO","Acompanhar saldo","Sem ação imediata"))))</x:f>
      </x:c>
    </x:row>
    <x:row r="136">
      <x:c r="A136" s="30" t="str">
        <x:f>IF(Config!A128="","",Config!A128)</x:f>
      </x:c>
      <x:c r="B136" s="34" t="str">
        <x:f>IF($A136="","",SUMIFS(Base_Lancamentos!$H:$H,Base_Lancamentos!$B:$B,$A136))</x:f>
      </x:c>
      <x:c r="C136" s="34" t="str">
        <x:f>IF($A136="","",SUMIFS(Base_Lancamentos!$I:$I,Base_Lancamentos!$B:$B,$A136))</x:f>
      </x:c>
      <x:c r="D136" s="34" t="str">
        <x:f>IF($A136="","",B136-C136)</x:f>
      </x:c>
      <x:c r="E136" s="32" t="str">
        <x:f>IF($A136="","",IFERROR(MAXIFS(Base_Lancamentos!$C:$C,Base_Lancamentos!$B:$B,$A136,Base_Lancamentos!$D:$D,"Intervenção"),""))</x:f>
      </x:c>
      <x:c r="F136" s="60" t="str">
        <x:f>IF($A136="","",COUNTIFS(Base_Lancamentos!$B:$B,$A136,Base_Lancamentos!$D:$D,"Intervenção"))</x:f>
      </x:c>
      <x:c r="G136" s="30" t="str">
        <x:f>IF($A136="","",IF($D136&lt;=0,"ESGOTADO",IF($D136&lt;=Config!$H$2,"SALDO CRÍTICO",IF($D136&lt;=Config!$H$3,"SALDO BAIXO","OK"))))</x:f>
      </x:c>
      <x:c r="H136" s="30" t="str">
        <x:f>IF($A136="","",IF($G136="ESGOTADO","Enviar proposta de novo pack",IF($G136="SALDO CRÍTICO","Contactar cliente para renovação",IF($G136="SALDO BAIXO","Acompanhar saldo","Sem ação imediata"))))</x:f>
      </x:c>
    </x:row>
    <x:row r="137">
      <x:c r="A137" s="30" t="str">
        <x:f>IF(Config!A129="","",Config!A129)</x:f>
      </x:c>
      <x:c r="B137" s="34" t="str">
        <x:f>IF($A137="","",SUMIFS(Base_Lancamentos!$H:$H,Base_Lancamentos!$B:$B,$A137))</x:f>
      </x:c>
      <x:c r="C137" s="34" t="str">
        <x:f>IF($A137="","",SUMIFS(Base_Lancamentos!$I:$I,Base_Lancamentos!$B:$B,$A137))</x:f>
      </x:c>
      <x:c r="D137" s="34" t="str">
        <x:f>IF($A137="","",B137-C137)</x:f>
      </x:c>
      <x:c r="E137" s="32" t="str">
        <x:f>IF($A137="","",IFERROR(MAXIFS(Base_Lancamentos!$C:$C,Base_Lancamentos!$B:$B,$A137,Base_Lancamentos!$D:$D,"Intervenção"),""))</x:f>
      </x:c>
      <x:c r="F137" s="60" t="str">
        <x:f>IF($A137="","",COUNTIFS(Base_Lancamentos!$B:$B,$A137,Base_Lancamentos!$D:$D,"Intervenção"))</x:f>
      </x:c>
      <x:c r="G137" s="30" t="str">
        <x:f>IF($A137="","",IF($D137&lt;=0,"ESGOTADO",IF($D137&lt;=Config!$H$2,"SALDO CRÍTICO",IF($D137&lt;=Config!$H$3,"SALDO BAIXO","OK"))))</x:f>
      </x:c>
      <x:c r="H137" s="30" t="str">
        <x:f>IF($A137="","",IF($G137="ESGOTADO","Enviar proposta de novo pack",IF($G137="SALDO CRÍTICO","Contactar cliente para renovação",IF($G137="SALDO BAIXO","Acompanhar saldo","Sem ação imediata"))))</x:f>
      </x:c>
    </x:row>
    <x:row r="138">
      <x:c r="A138" s="30" t="str">
        <x:f>IF(Config!A130="","",Config!A130)</x:f>
      </x:c>
      <x:c r="B138" s="34" t="str">
        <x:f>IF($A138="","",SUMIFS(Base_Lancamentos!$H:$H,Base_Lancamentos!$B:$B,$A138))</x:f>
      </x:c>
      <x:c r="C138" s="34" t="str">
        <x:f>IF($A138="","",SUMIFS(Base_Lancamentos!$I:$I,Base_Lancamentos!$B:$B,$A138))</x:f>
      </x:c>
      <x:c r="D138" s="34" t="str">
        <x:f>IF($A138="","",B138-C138)</x:f>
      </x:c>
      <x:c r="E138" s="32" t="str">
        <x:f>IF($A138="","",IFERROR(MAXIFS(Base_Lancamentos!$C:$C,Base_Lancamentos!$B:$B,$A138,Base_Lancamentos!$D:$D,"Intervenção"),""))</x:f>
      </x:c>
      <x:c r="F138" s="60" t="str">
        <x:f>IF($A138="","",COUNTIFS(Base_Lancamentos!$B:$B,$A138,Base_Lancamentos!$D:$D,"Intervenção"))</x:f>
      </x:c>
      <x:c r="G138" s="30" t="str">
        <x:f>IF($A138="","",IF($D138&lt;=0,"ESGOTADO",IF($D138&lt;=Config!$H$2,"SALDO CRÍTICO",IF($D138&lt;=Config!$H$3,"SALDO BAIXO","OK"))))</x:f>
      </x:c>
      <x:c r="H138" s="30" t="str">
        <x:f>IF($A138="","",IF($G138="ESGOTADO","Enviar proposta de novo pack",IF($G138="SALDO CRÍTICO","Contactar cliente para renovação",IF($G138="SALDO BAIXO","Acompanhar saldo","Sem ação imediata"))))</x:f>
      </x:c>
    </x:row>
    <x:row r="139">
      <x:c r="A139" s="30" t="str">
        <x:f>IF(Config!A131="","",Config!A131)</x:f>
      </x:c>
      <x:c r="B139" s="34" t="str">
        <x:f>IF($A139="","",SUMIFS(Base_Lancamentos!$H:$H,Base_Lancamentos!$B:$B,$A139))</x:f>
      </x:c>
      <x:c r="C139" s="34" t="str">
        <x:f>IF($A139="","",SUMIFS(Base_Lancamentos!$I:$I,Base_Lancamentos!$B:$B,$A139))</x:f>
      </x:c>
      <x:c r="D139" s="34" t="str">
        <x:f>IF($A139="","",B139-C139)</x:f>
      </x:c>
      <x:c r="E139" s="32" t="str">
        <x:f>IF($A139="","",IFERROR(MAXIFS(Base_Lancamentos!$C:$C,Base_Lancamentos!$B:$B,$A139,Base_Lancamentos!$D:$D,"Intervenção"),""))</x:f>
      </x:c>
      <x:c r="F139" s="60" t="str">
        <x:f>IF($A139="","",COUNTIFS(Base_Lancamentos!$B:$B,$A139,Base_Lancamentos!$D:$D,"Intervenção"))</x:f>
      </x:c>
      <x:c r="G139" s="30" t="str">
        <x:f>IF($A139="","",IF($D139&lt;=0,"ESGOTADO",IF($D139&lt;=Config!$H$2,"SALDO CRÍTICO",IF($D139&lt;=Config!$H$3,"SALDO BAIXO","OK"))))</x:f>
      </x:c>
      <x:c r="H139" s="30" t="str">
        <x:f>IF($A139="","",IF($G139="ESGOTADO","Enviar proposta de novo pack",IF($G139="SALDO CRÍTICO","Contactar cliente para renovação",IF($G139="SALDO BAIXO","Acompanhar saldo","Sem ação imediata"))))</x:f>
      </x:c>
    </x:row>
    <x:row r="140">
      <x:c r="A140" s="30" t="str">
        <x:f>IF(Config!A132="","",Config!A132)</x:f>
      </x:c>
      <x:c r="B140" s="34" t="str">
        <x:f>IF($A140="","",SUMIFS(Base_Lancamentos!$H:$H,Base_Lancamentos!$B:$B,$A140))</x:f>
      </x:c>
      <x:c r="C140" s="34" t="str">
        <x:f>IF($A140="","",SUMIFS(Base_Lancamentos!$I:$I,Base_Lancamentos!$B:$B,$A140))</x:f>
      </x:c>
      <x:c r="D140" s="34" t="str">
        <x:f>IF($A140="","",B140-C140)</x:f>
      </x:c>
      <x:c r="E140" s="32" t="str">
        <x:f>IF($A140="","",IFERROR(MAXIFS(Base_Lancamentos!$C:$C,Base_Lancamentos!$B:$B,$A140,Base_Lancamentos!$D:$D,"Intervenção"),""))</x:f>
      </x:c>
      <x:c r="F140" s="60" t="str">
        <x:f>IF($A140="","",COUNTIFS(Base_Lancamentos!$B:$B,$A140,Base_Lancamentos!$D:$D,"Intervenção"))</x:f>
      </x:c>
      <x:c r="G140" s="30" t="str">
        <x:f>IF($A140="","",IF($D140&lt;=0,"ESGOTADO",IF($D140&lt;=Config!$H$2,"SALDO CRÍTICO",IF($D140&lt;=Config!$H$3,"SALDO BAIXO","OK"))))</x:f>
      </x:c>
      <x:c r="H140" s="30" t="str">
        <x:f>IF($A140="","",IF($G140="ESGOTADO","Enviar proposta de novo pack",IF($G140="SALDO CRÍTICO","Contactar cliente para renovação",IF($G140="SALDO BAIXO","Acompanhar saldo","Sem ação imediata"))))</x:f>
      </x:c>
    </x:row>
    <x:row r="141">
      <x:c r="A141" s="30" t="str">
        <x:f>IF(Config!A133="","",Config!A133)</x:f>
      </x:c>
      <x:c r="B141" s="34" t="str">
        <x:f>IF($A141="","",SUMIFS(Base_Lancamentos!$H:$H,Base_Lancamentos!$B:$B,$A141))</x:f>
      </x:c>
      <x:c r="C141" s="34" t="str">
        <x:f>IF($A141="","",SUMIFS(Base_Lancamentos!$I:$I,Base_Lancamentos!$B:$B,$A141))</x:f>
      </x:c>
      <x:c r="D141" s="34" t="str">
        <x:f>IF($A141="","",B141-C141)</x:f>
      </x:c>
      <x:c r="E141" s="32" t="str">
        <x:f>IF($A141="","",IFERROR(MAXIFS(Base_Lancamentos!$C:$C,Base_Lancamentos!$B:$B,$A141,Base_Lancamentos!$D:$D,"Intervenção"),""))</x:f>
      </x:c>
      <x:c r="F141" s="60" t="str">
        <x:f>IF($A141="","",COUNTIFS(Base_Lancamentos!$B:$B,$A141,Base_Lancamentos!$D:$D,"Intervenção"))</x:f>
      </x:c>
      <x:c r="G141" s="30" t="str">
        <x:f>IF($A141="","",IF($D141&lt;=0,"ESGOTADO",IF($D141&lt;=Config!$H$2,"SALDO CRÍTICO",IF($D141&lt;=Config!$H$3,"SALDO BAIXO","OK"))))</x:f>
      </x:c>
      <x:c r="H141" s="30" t="str">
        <x:f>IF($A141="","",IF($G141="ESGOTADO","Enviar proposta de novo pack",IF($G141="SALDO CRÍTICO","Contactar cliente para renovação",IF($G141="SALDO BAIXO","Acompanhar saldo","Sem ação imediata"))))</x:f>
      </x:c>
    </x:row>
    <x:row r="142">
      <x:c r="A142" s="30" t="str">
        <x:f>IF(Config!A134="","",Config!A134)</x:f>
      </x:c>
      <x:c r="B142" s="34" t="str">
        <x:f>IF($A142="","",SUMIFS(Base_Lancamentos!$H:$H,Base_Lancamentos!$B:$B,$A142))</x:f>
      </x:c>
      <x:c r="C142" s="34" t="str">
        <x:f>IF($A142="","",SUMIFS(Base_Lancamentos!$I:$I,Base_Lancamentos!$B:$B,$A142))</x:f>
      </x:c>
      <x:c r="D142" s="34" t="str">
        <x:f>IF($A142="","",B142-C142)</x:f>
      </x:c>
      <x:c r="E142" s="32" t="str">
        <x:f>IF($A142="","",IFERROR(MAXIFS(Base_Lancamentos!$C:$C,Base_Lancamentos!$B:$B,$A142,Base_Lancamentos!$D:$D,"Intervenção"),""))</x:f>
      </x:c>
      <x:c r="F142" s="60" t="str">
        <x:f>IF($A142="","",COUNTIFS(Base_Lancamentos!$B:$B,$A142,Base_Lancamentos!$D:$D,"Intervenção"))</x:f>
      </x:c>
      <x:c r="G142" s="30" t="str">
        <x:f>IF($A142="","",IF($D142&lt;=0,"ESGOTADO",IF($D142&lt;=Config!$H$2,"SALDO CRÍTICO",IF($D142&lt;=Config!$H$3,"SALDO BAIXO","OK"))))</x:f>
      </x:c>
      <x:c r="H142" s="30" t="str">
        <x:f>IF($A142="","",IF($G142="ESGOTADO","Enviar proposta de novo pack",IF($G142="SALDO CRÍTICO","Contactar cliente para renovação",IF($G142="SALDO BAIXO","Acompanhar saldo","Sem ação imediata"))))</x:f>
      </x:c>
    </x:row>
    <x:row r="143">
      <x:c r="A143" s="30" t="str">
        <x:f>IF(Config!A135="","",Config!A135)</x:f>
      </x:c>
      <x:c r="B143" s="34" t="str">
        <x:f>IF($A143="","",SUMIFS(Base_Lancamentos!$H:$H,Base_Lancamentos!$B:$B,$A143))</x:f>
      </x:c>
      <x:c r="C143" s="34" t="str">
        <x:f>IF($A143="","",SUMIFS(Base_Lancamentos!$I:$I,Base_Lancamentos!$B:$B,$A143))</x:f>
      </x:c>
      <x:c r="D143" s="34" t="str">
        <x:f>IF($A143="","",B143-C143)</x:f>
      </x:c>
      <x:c r="E143" s="32" t="str">
        <x:f>IF($A143="","",IFERROR(MAXIFS(Base_Lancamentos!$C:$C,Base_Lancamentos!$B:$B,$A143,Base_Lancamentos!$D:$D,"Intervenção"),""))</x:f>
      </x:c>
      <x:c r="F143" s="60" t="str">
        <x:f>IF($A143="","",COUNTIFS(Base_Lancamentos!$B:$B,$A143,Base_Lancamentos!$D:$D,"Intervenção"))</x:f>
      </x:c>
      <x:c r="G143" s="30" t="str">
        <x:f>IF($A143="","",IF($D143&lt;=0,"ESGOTADO",IF($D143&lt;=Config!$H$2,"SALDO CRÍTICO",IF($D143&lt;=Config!$H$3,"SALDO BAIXO","OK"))))</x:f>
      </x:c>
      <x:c r="H143" s="30" t="str">
        <x:f>IF($A143="","",IF($G143="ESGOTADO","Enviar proposta de novo pack",IF($G143="SALDO CRÍTICO","Contactar cliente para renovação",IF($G143="SALDO BAIXO","Acompanhar saldo","Sem ação imediata"))))</x:f>
      </x:c>
    </x:row>
    <x:row r="144">
      <x:c r="A144" s="30" t="str">
        <x:f>IF(Config!A136="","",Config!A136)</x:f>
      </x:c>
      <x:c r="B144" s="34" t="str">
        <x:f>IF($A144="","",SUMIFS(Base_Lancamentos!$H:$H,Base_Lancamentos!$B:$B,$A144))</x:f>
      </x:c>
      <x:c r="C144" s="34" t="str">
        <x:f>IF($A144="","",SUMIFS(Base_Lancamentos!$I:$I,Base_Lancamentos!$B:$B,$A144))</x:f>
      </x:c>
      <x:c r="D144" s="34" t="str">
        <x:f>IF($A144="","",B144-C144)</x:f>
      </x:c>
      <x:c r="E144" s="32" t="str">
        <x:f>IF($A144="","",IFERROR(MAXIFS(Base_Lancamentos!$C:$C,Base_Lancamentos!$B:$B,$A144,Base_Lancamentos!$D:$D,"Intervenção"),""))</x:f>
      </x:c>
      <x:c r="F144" s="60" t="str">
        <x:f>IF($A144="","",COUNTIFS(Base_Lancamentos!$B:$B,$A144,Base_Lancamentos!$D:$D,"Intervenção"))</x:f>
      </x:c>
      <x:c r="G144" s="30" t="str">
        <x:f>IF($A144="","",IF($D144&lt;=0,"ESGOTADO",IF($D144&lt;=Config!$H$2,"SALDO CRÍTICO",IF($D144&lt;=Config!$H$3,"SALDO BAIXO","OK"))))</x:f>
      </x:c>
      <x:c r="H144" s="30" t="str">
        <x:f>IF($A144="","",IF($G144="ESGOTADO","Enviar proposta de novo pack",IF($G144="SALDO CRÍTICO","Contactar cliente para renovação",IF($G144="SALDO BAIXO","Acompanhar saldo","Sem ação imediata"))))</x:f>
      </x:c>
    </x:row>
    <x:row r="145">
      <x:c r="A145" s="30" t="str">
        <x:f>IF(Config!A137="","",Config!A137)</x:f>
      </x:c>
      <x:c r="B145" s="34" t="str">
        <x:f>IF($A145="","",SUMIFS(Base_Lancamentos!$H:$H,Base_Lancamentos!$B:$B,$A145))</x:f>
      </x:c>
      <x:c r="C145" s="34" t="str">
        <x:f>IF($A145="","",SUMIFS(Base_Lancamentos!$I:$I,Base_Lancamentos!$B:$B,$A145))</x:f>
      </x:c>
      <x:c r="D145" s="34" t="str">
        <x:f>IF($A145="","",B145-C145)</x:f>
      </x:c>
      <x:c r="E145" s="32" t="str">
        <x:f>IF($A145="","",IFERROR(MAXIFS(Base_Lancamentos!$C:$C,Base_Lancamentos!$B:$B,$A145,Base_Lancamentos!$D:$D,"Intervenção"),""))</x:f>
      </x:c>
      <x:c r="F145" s="60" t="str">
        <x:f>IF($A145="","",COUNTIFS(Base_Lancamentos!$B:$B,$A145,Base_Lancamentos!$D:$D,"Intervenção"))</x:f>
      </x:c>
      <x:c r="G145" s="30" t="str">
        <x:f>IF($A145="","",IF($D145&lt;=0,"ESGOTADO",IF($D145&lt;=Config!$H$2,"SALDO CRÍTICO",IF($D145&lt;=Config!$H$3,"SALDO BAIXO","OK"))))</x:f>
      </x:c>
      <x:c r="H145" s="30" t="str">
        <x:f>IF($A145="","",IF($G145="ESGOTADO","Enviar proposta de novo pack",IF($G145="SALDO CRÍTICO","Contactar cliente para renovação",IF($G145="SALDO BAIXO","Acompanhar saldo","Sem ação imediata"))))</x:f>
      </x:c>
    </x:row>
    <x:row r="146">
      <x:c r="A146" s="30" t="str">
        <x:f>IF(Config!A138="","",Config!A138)</x:f>
      </x:c>
      <x:c r="B146" s="34" t="str">
        <x:f>IF($A146="","",SUMIFS(Base_Lancamentos!$H:$H,Base_Lancamentos!$B:$B,$A146))</x:f>
      </x:c>
      <x:c r="C146" s="34" t="str">
        <x:f>IF($A146="","",SUMIFS(Base_Lancamentos!$I:$I,Base_Lancamentos!$B:$B,$A146))</x:f>
      </x:c>
      <x:c r="D146" s="34" t="str">
        <x:f>IF($A146="","",B146-C146)</x:f>
      </x:c>
      <x:c r="E146" s="32" t="str">
        <x:f>IF($A146="","",IFERROR(MAXIFS(Base_Lancamentos!$C:$C,Base_Lancamentos!$B:$B,$A146,Base_Lancamentos!$D:$D,"Intervenção"),""))</x:f>
      </x:c>
      <x:c r="F146" s="60" t="str">
        <x:f>IF($A146="","",COUNTIFS(Base_Lancamentos!$B:$B,$A146,Base_Lancamentos!$D:$D,"Intervenção"))</x:f>
      </x:c>
      <x:c r="G146" s="30" t="str">
        <x:f>IF($A146="","",IF($D146&lt;=0,"ESGOTADO",IF($D146&lt;=Config!$H$2,"SALDO CRÍTICO",IF($D146&lt;=Config!$H$3,"SALDO BAIXO","OK"))))</x:f>
      </x:c>
      <x:c r="H146" s="30" t="str">
        <x:f>IF($A146="","",IF($G146="ESGOTADO","Enviar proposta de novo pack",IF($G146="SALDO CRÍTICO","Contactar cliente para renovação",IF($G146="SALDO BAIXO","Acompanhar saldo","Sem ação imediata"))))</x:f>
      </x:c>
    </x:row>
    <x:row r="147">
      <x:c r="A147" s="30" t="str">
        <x:f>IF(Config!A139="","",Config!A139)</x:f>
      </x:c>
      <x:c r="B147" s="34" t="str">
        <x:f>IF($A147="","",SUMIFS(Base_Lancamentos!$H:$H,Base_Lancamentos!$B:$B,$A147))</x:f>
      </x:c>
      <x:c r="C147" s="34" t="str">
        <x:f>IF($A147="","",SUMIFS(Base_Lancamentos!$I:$I,Base_Lancamentos!$B:$B,$A147))</x:f>
      </x:c>
      <x:c r="D147" s="34" t="str">
        <x:f>IF($A147="","",B147-C147)</x:f>
      </x:c>
      <x:c r="E147" s="32" t="str">
        <x:f>IF($A147="","",IFERROR(MAXIFS(Base_Lancamentos!$C:$C,Base_Lancamentos!$B:$B,$A147,Base_Lancamentos!$D:$D,"Intervenção"),""))</x:f>
      </x:c>
      <x:c r="F147" s="60" t="str">
        <x:f>IF($A147="","",COUNTIFS(Base_Lancamentos!$B:$B,$A147,Base_Lancamentos!$D:$D,"Intervenção"))</x:f>
      </x:c>
      <x:c r="G147" s="30" t="str">
        <x:f>IF($A147="","",IF($D147&lt;=0,"ESGOTADO",IF($D147&lt;=Config!$H$2,"SALDO CRÍTICO",IF($D147&lt;=Config!$H$3,"SALDO BAIXO","OK"))))</x:f>
      </x:c>
      <x:c r="H147" s="30" t="str">
        <x:f>IF($A147="","",IF($G147="ESGOTADO","Enviar proposta de novo pack",IF($G147="SALDO CRÍTICO","Contactar cliente para renovação",IF($G147="SALDO BAIXO","Acompanhar saldo","Sem ação imediata"))))</x:f>
      </x:c>
    </x:row>
    <x:row r="148">
      <x:c r="A148" s="30" t="str">
        <x:f>IF(Config!A140="","",Config!A140)</x:f>
      </x:c>
      <x:c r="B148" s="34" t="str">
        <x:f>IF($A148="","",SUMIFS(Base_Lancamentos!$H:$H,Base_Lancamentos!$B:$B,$A148))</x:f>
      </x:c>
      <x:c r="C148" s="34" t="str">
        <x:f>IF($A148="","",SUMIFS(Base_Lancamentos!$I:$I,Base_Lancamentos!$B:$B,$A148))</x:f>
      </x:c>
      <x:c r="D148" s="34" t="str">
        <x:f>IF($A148="","",B148-C148)</x:f>
      </x:c>
      <x:c r="E148" s="32" t="str">
        <x:f>IF($A148="","",IFERROR(MAXIFS(Base_Lancamentos!$C:$C,Base_Lancamentos!$B:$B,$A148,Base_Lancamentos!$D:$D,"Intervenção"),""))</x:f>
      </x:c>
      <x:c r="F148" s="60" t="str">
        <x:f>IF($A148="","",COUNTIFS(Base_Lancamentos!$B:$B,$A148,Base_Lancamentos!$D:$D,"Intervenção"))</x:f>
      </x:c>
      <x:c r="G148" s="30" t="str">
        <x:f>IF($A148="","",IF($D148&lt;=0,"ESGOTADO",IF($D148&lt;=Config!$H$2,"SALDO CRÍTICO",IF($D148&lt;=Config!$H$3,"SALDO BAIXO","OK"))))</x:f>
      </x:c>
      <x:c r="H148" s="30" t="str">
        <x:f>IF($A148="","",IF($G148="ESGOTADO","Enviar proposta de novo pack",IF($G148="SALDO CRÍTICO","Contactar cliente para renovação",IF($G148="SALDO BAIXO","Acompanhar saldo","Sem ação imediata"))))</x:f>
      </x:c>
    </x:row>
    <x:row r="149">
      <x:c r="A149" s="30" t="str">
        <x:f>IF(Config!A141="","",Config!A141)</x:f>
      </x:c>
      <x:c r="B149" s="34" t="str">
        <x:f>IF($A149="","",SUMIFS(Base_Lancamentos!$H:$H,Base_Lancamentos!$B:$B,$A149))</x:f>
      </x:c>
      <x:c r="C149" s="34" t="str">
        <x:f>IF($A149="","",SUMIFS(Base_Lancamentos!$I:$I,Base_Lancamentos!$B:$B,$A149))</x:f>
      </x:c>
      <x:c r="D149" s="34" t="str">
        <x:f>IF($A149="","",B149-C149)</x:f>
      </x:c>
      <x:c r="E149" s="32" t="str">
        <x:f>IF($A149="","",IFERROR(MAXIFS(Base_Lancamentos!$C:$C,Base_Lancamentos!$B:$B,$A149,Base_Lancamentos!$D:$D,"Intervenção"),""))</x:f>
      </x:c>
      <x:c r="F149" s="60" t="str">
        <x:f>IF($A149="","",COUNTIFS(Base_Lancamentos!$B:$B,$A149,Base_Lancamentos!$D:$D,"Intervenção"))</x:f>
      </x:c>
      <x:c r="G149" s="30" t="str">
        <x:f>IF($A149="","",IF($D149&lt;=0,"ESGOTADO",IF($D149&lt;=Config!$H$2,"SALDO CRÍTICO",IF($D149&lt;=Config!$H$3,"SALDO BAIXO","OK"))))</x:f>
      </x:c>
      <x:c r="H149" s="30" t="str">
        <x:f>IF($A149="","",IF($G149="ESGOTADO","Enviar proposta de novo pack",IF($G149="SALDO CRÍTICO","Contactar cliente para renovação",IF($G149="SALDO BAIXO","Acompanhar saldo","Sem ação imediata"))))</x:f>
      </x:c>
    </x:row>
    <x:row r="150">
      <x:c r="A150" s="30" t="str">
        <x:f>IF(Config!A142="","",Config!A142)</x:f>
      </x:c>
      <x:c r="B150" s="34" t="str">
        <x:f>IF($A150="","",SUMIFS(Base_Lancamentos!$H:$H,Base_Lancamentos!$B:$B,$A150))</x:f>
      </x:c>
      <x:c r="C150" s="34" t="str">
        <x:f>IF($A150="","",SUMIFS(Base_Lancamentos!$I:$I,Base_Lancamentos!$B:$B,$A150))</x:f>
      </x:c>
      <x:c r="D150" s="34" t="str">
        <x:f>IF($A150="","",B150-C150)</x:f>
      </x:c>
      <x:c r="E150" s="32" t="str">
        <x:f>IF($A150="","",IFERROR(MAXIFS(Base_Lancamentos!$C:$C,Base_Lancamentos!$B:$B,$A150,Base_Lancamentos!$D:$D,"Intervenção"),""))</x:f>
      </x:c>
      <x:c r="F150" s="60" t="str">
        <x:f>IF($A150="","",COUNTIFS(Base_Lancamentos!$B:$B,$A150,Base_Lancamentos!$D:$D,"Intervenção"))</x:f>
      </x:c>
      <x:c r="G150" s="30" t="str">
        <x:f>IF($A150="","",IF($D150&lt;=0,"ESGOTADO",IF($D150&lt;=Config!$H$2,"SALDO CRÍTICO",IF($D150&lt;=Config!$H$3,"SALDO BAIXO","OK"))))</x:f>
      </x:c>
      <x:c r="H150" s="30" t="str">
        <x:f>IF($A150="","",IF($G150="ESGOTADO","Enviar proposta de novo pack",IF($G150="SALDO CRÍTICO","Contactar cliente para renovação",IF($G150="SALDO BAIXO","Acompanhar saldo","Sem ação imediata"))))</x:f>
      </x:c>
    </x:row>
    <x:row r="151">
      <x:c r="A151" s="30" t="str">
        <x:f>IF(Config!A143="","",Config!A143)</x:f>
      </x:c>
      <x:c r="B151" s="34" t="str">
        <x:f>IF($A151="","",SUMIFS(Base_Lancamentos!$H:$H,Base_Lancamentos!$B:$B,$A151))</x:f>
      </x:c>
      <x:c r="C151" s="34" t="str">
        <x:f>IF($A151="","",SUMIFS(Base_Lancamentos!$I:$I,Base_Lancamentos!$B:$B,$A151))</x:f>
      </x:c>
      <x:c r="D151" s="34" t="str">
        <x:f>IF($A151="","",B151-C151)</x:f>
      </x:c>
      <x:c r="E151" s="32" t="str">
        <x:f>IF($A151="","",IFERROR(MAXIFS(Base_Lancamentos!$C:$C,Base_Lancamentos!$B:$B,$A151,Base_Lancamentos!$D:$D,"Intervenção"),""))</x:f>
      </x:c>
      <x:c r="F151" s="60" t="str">
        <x:f>IF($A151="","",COUNTIFS(Base_Lancamentos!$B:$B,$A151,Base_Lancamentos!$D:$D,"Intervenção"))</x:f>
      </x:c>
      <x:c r="G151" s="30" t="str">
        <x:f>IF($A151="","",IF($D151&lt;=0,"ESGOTADO",IF($D151&lt;=Config!$H$2,"SALDO CRÍTICO",IF($D151&lt;=Config!$H$3,"SALDO BAIXO","OK"))))</x:f>
      </x:c>
      <x:c r="H151" s="30" t="str">
        <x:f>IF($A151="","",IF($G151="ESGOTADO","Enviar proposta de novo pack",IF($G151="SALDO CRÍTICO","Contactar cliente para renovação",IF($G151="SALDO BAIXO","Acompanhar saldo","Sem ação imediata"))))</x:f>
      </x:c>
    </x:row>
    <x:row r="152">
      <x:c r="A152" s="30" t="str">
        <x:f>IF(Config!A144="","",Config!A144)</x:f>
      </x:c>
      <x:c r="B152" s="34" t="str">
        <x:f>IF($A152="","",SUMIFS(Base_Lancamentos!$H:$H,Base_Lancamentos!$B:$B,$A152))</x:f>
      </x:c>
      <x:c r="C152" s="34" t="str">
        <x:f>IF($A152="","",SUMIFS(Base_Lancamentos!$I:$I,Base_Lancamentos!$B:$B,$A152))</x:f>
      </x:c>
      <x:c r="D152" s="34" t="str">
        <x:f>IF($A152="","",B152-C152)</x:f>
      </x:c>
      <x:c r="E152" s="32" t="str">
        <x:f>IF($A152="","",IFERROR(MAXIFS(Base_Lancamentos!$C:$C,Base_Lancamentos!$B:$B,$A152,Base_Lancamentos!$D:$D,"Intervenção"),""))</x:f>
      </x:c>
      <x:c r="F152" s="60" t="str">
        <x:f>IF($A152="","",COUNTIFS(Base_Lancamentos!$B:$B,$A152,Base_Lancamentos!$D:$D,"Intervenção"))</x:f>
      </x:c>
      <x:c r="G152" s="30" t="str">
        <x:f>IF($A152="","",IF($D152&lt;=0,"ESGOTADO",IF($D152&lt;=Config!$H$2,"SALDO CRÍTICO",IF($D152&lt;=Config!$H$3,"SALDO BAIXO","OK"))))</x:f>
      </x:c>
      <x:c r="H152" s="30" t="str">
        <x:f>IF($A152="","",IF($G152="ESGOTADO","Enviar proposta de novo pack",IF($G152="SALDO CRÍTICO","Contactar cliente para renovação",IF($G152="SALDO BAIXO","Acompanhar saldo","Sem ação imediata"))))</x:f>
      </x:c>
    </x:row>
    <x:row r="153">
      <x:c r="A153" s="30" t="str">
        <x:f>IF(Config!A145="","",Config!A145)</x:f>
      </x:c>
      <x:c r="B153" s="34" t="str">
        <x:f>IF($A153="","",SUMIFS(Base_Lancamentos!$H:$H,Base_Lancamentos!$B:$B,$A153))</x:f>
      </x:c>
      <x:c r="C153" s="34" t="str">
        <x:f>IF($A153="","",SUMIFS(Base_Lancamentos!$I:$I,Base_Lancamentos!$B:$B,$A153))</x:f>
      </x:c>
      <x:c r="D153" s="34" t="str">
        <x:f>IF($A153="","",B153-C153)</x:f>
      </x:c>
      <x:c r="E153" s="32" t="str">
        <x:f>IF($A153="","",IFERROR(MAXIFS(Base_Lancamentos!$C:$C,Base_Lancamentos!$B:$B,$A153,Base_Lancamentos!$D:$D,"Intervenção"),""))</x:f>
      </x:c>
      <x:c r="F153" s="60" t="str">
        <x:f>IF($A153="","",COUNTIFS(Base_Lancamentos!$B:$B,$A153,Base_Lancamentos!$D:$D,"Intervenção"))</x:f>
      </x:c>
      <x:c r="G153" s="30" t="str">
        <x:f>IF($A153="","",IF($D153&lt;=0,"ESGOTADO",IF($D153&lt;=Config!$H$2,"SALDO CRÍTICO",IF($D153&lt;=Config!$H$3,"SALDO BAIXO","OK"))))</x:f>
      </x:c>
      <x:c r="H153" s="30" t="str">
        <x:f>IF($A153="","",IF($G153="ESGOTADO","Enviar proposta de novo pack",IF($G153="SALDO CRÍTICO","Contactar cliente para renovação",IF($G153="SALDO BAIXO","Acompanhar saldo","Sem ação imediata"))))</x:f>
      </x:c>
    </x:row>
    <x:row r="154">
      <x:c r="A154" s="30" t="str">
        <x:f>IF(Config!A146="","",Config!A146)</x:f>
      </x:c>
      <x:c r="B154" s="34" t="str">
        <x:f>IF($A154="","",SUMIFS(Base_Lancamentos!$H:$H,Base_Lancamentos!$B:$B,$A154))</x:f>
      </x:c>
      <x:c r="C154" s="34" t="str">
        <x:f>IF($A154="","",SUMIFS(Base_Lancamentos!$I:$I,Base_Lancamentos!$B:$B,$A154))</x:f>
      </x:c>
      <x:c r="D154" s="34" t="str">
        <x:f>IF($A154="","",B154-C154)</x:f>
      </x:c>
      <x:c r="E154" s="32" t="str">
        <x:f>IF($A154="","",IFERROR(MAXIFS(Base_Lancamentos!$C:$C,Base_Lancamentos!$B:$B,$A154,Base_Lancamentos!$D:$D,"Intervenção"),""))</x:f>
      </x:c>
      <x:c r="F154" s="60" t="str">
        <x:f>IF($A154="","",COUNTIFS(Base_Lancamentos!$B:$B,$A154,Base_Lancamentos!$D:$D,"Intervenção"))</x:f>
      </x:c>
      <x:c r="G154" s="30" t="str">
        <x:f>IF($A154="","",IF($D154&lt;=0,"ESGOTADO",IF($D154&lt;=Config!$H$2,"SALDO CRÍTICO",IF($D154&lt;=Config!$H$3,"SALDO BAIXO","OK"))))</x:f>
      </x:c>
      <x:c r="H154" s="30" t="str">
        <x:f>IF($A154="","",IF($G154="ESGOTADO","Enviar proposta de novo pack",IF($G154="SALDO CRÍTICO","Contactar cliente para renovação",IF($G154="SALDO BAIXO","Acompanhar saldo","Sem ação imediata"))))</x:f>
      </x:c>
    </x:row>
    <x:row r="155">
      <x:c r="A155" s="30" t="str">
        <x:f>IF(Config!A147="","",Config!A147)</x:f>
      </x:c>
      <x:c r="B155" s="34" t="str">
        <x:f>IF($A155="","",SUMIFS(Base_Lancamentos!$H:$H,Base_Lancamentos!$B:$B,$A155))</x:f>
      </x:c>
      <x:c r="C155" s="34" t="str">
        <x:f>IF($A155="","",SUMIFS(Base_Lancamentos!$I:$I,Base_Lancamentos!$B:$B,$A155))</x:f>
      </x:c>
      <x:c r="D155" s="34" t="str">
        <x:f>IF($A155="","",B155-C155)</x:f>
      </x:c>
      <x:c r="E155" s="32" t="str">
        <x:f>IF($A155="","",IFERROR(MAXIFS(Base_Lancamentos!$C:$C,Base_Lancamentos!$B:$B,$A155,Base_Lancamentos!$D:$D,"Intervenção"),""))</x:f>
      </x:c>
      <x:c r="F155" s="60" t="str">
        <x:f>IF($A155="","",COUNTIFS(Base_Lancamentos!$B:$B,$A155,Base_Lancamentos!$D:$D,"Intervenção"))</x:f>
      </x:c>
      <x:c r="G155" s="30" t="str">
        <x:f>IF($A155="","",IF($D155&lt;=0,"ESGOTADO",IF($D155&lt;=Config!$H$2,"SALDO CRÍTICO",IF($D155&lt;=Config!$H$3,"SALDO BAIXO","OK"))))</x:f>
      </x:c>
      <x:c r="H155" s="30" t="str">
        <x:f>IF($A155="","",IF($G155="ESGOTADO","Enviar proposta de novo pack",IF($G155="SALDO CRÍTICO","Contactar cliente para renovação",IF($G155="SALDO BAIXO","Acompanhar saldo","Sem ação imediata"))))</x:f>
      </x:c>
    </x:row>
    <x:row r="156">
      <x:c r="A156" s="30" t="str">
        <x:f>IF(Config!A148="","",Config!A148)</x:f>
      </x:c>
      <x:c r="B156" s="34" t="str">
        <x:f>IF($A156="","",SUMIFS(Base_Lancamentos!$H:$H,Base_Lancamentos!$B:$B,$A156))</x:f>
      </x:c>
      <x:c r="C156" s="34" t="str">
        <x:f>IF($A156="","",SUMIFS(Base_Lancamentos!$I:$I,Base_Lancamentos!$B:$B,$A156))</x:f>
      </x:c>
      <x:c r="D156" s="34" t="str">
        <x:f>IF($A156="","",B156-C156)</x:f>
      </x:c>
      <x:c r="E156" s="32" t="str">
        <x:f>IF($A156="","",IFERROR(MAXIFS(Base_Lancamentos!$C:$C,Base_Lancamentos!$B:$B,$A156,Base_Lancamentos!$D:$D,"Intervenção"),""))</x:f>
      </x:c>
      <x:c r="F156" s="60" t="str">
        <x:f>IF($A156="","",COUNTIFS(Base_Lancamentos!$B:$B,$A156,Base_Lancamentos!$D:$D,"Intervenção"))</x:f>
      </x:c>
      <x:c r="G156" s="30" t="str">
        <x:f>IF($A156="","",IF($D156&lt;=0,"ESGOTADO",IF($D156&lt;=Config!$H$2,"SALDO CRÍTICO",IF($D156&lt;=Config!$H$3,"SALDO BAIXO","OK"))))</x:f>
      </x:c>
      <x:c r="H156" s="30" t="str">
        <x:f>IF($A156="","",IF($G156="ESGOTADO","Enviar proposta de novo pack",IF($G156="SALDO CRÍTICO","Contactar cliente para renovação",IF($G156="SALDO BAIXO","Acompanhar saldo","Sem ação imediata"))))</x:f>
      </x:c>
    </x:row>
    <x:row r="157">
      <x:c r="A157" s="30" t="str">
        <x:f>IF(Config!A149="","",Config!A149)</x:f>
      </x:c>
      <x:c r="B157" s="34" t="str">
        <x:f>IF($A157="","",SUMIFS(Base_Lancamentos!$H:$H,Base_Lancamentos!$B:$B,$A157))</x:f>
      </x:c>
      <x:c r="C157" s="34" t="str">
        <x:f>IF($A157="","",SUMIFS(Base_Lancamentos!$I:$I,Base_Lancamentos!$B:$B,$A157))</x:f>
      </x:c>
      <x:c r="D157" s="34" t="str">
        <x:f>IF($A157="","",B157-C157)</x:f>
      </x:c>
      <x:c r="E157" s="32" t="str">
        <x:f>IF($A157="","",IFERROR(MAXIFS(Base_Lancamentos!$C:$C,Base_Lancamentos!$B:$B,$A157,Base_Lancamentos!$D:$D,"Intervenção"),""))</x:f>
      </x:c>
      <x:c r="F157" s="60" t="str">
        <x:f>IF($A157="","",COUNTIFS(Base_Lancamentos!$B:$B,$A157,Base_Lancamentos!$D:$D,"Intervenção"))</x:f>
      </x:c>
      <x:c r="G157" s="30" t="str">
        <x:f>IF($A157="","",IF($D157&lt;=0,"ESGOTADO",IF($D157&lt;=Config!$H$2,"SALDO CRÍTICO",IF($D157&lt;=Config!$H$3,"SALDO BAIXO","OK"))))</x:f>
      </x:c>
      <x:c r="H157" s="30" t="str">
        <x:f>IF($A157="","",IF($G157="ESGOTADO","Enviar proposta de novo pack",IF($G157="SALDO CRÍTICO","Contactar cliente para renovação",IF($G157="SALDO BAIXO","Acompanhar saldo","Sem ação imediata"))))</x:f>
      </x:c>
    </x:row>
    <x:row r="158">
      <x:c r="A158" s="30" t="str">
        <x:f>IF(Config!A150="","",Config!A150)</x:f>
      </x:c>
      <x:c r="B158" s="34" t="str">
        <x:f>IF($A158="","",SUMIFS(Base_Lancamentos!$H:$H,Base_Lancamentos!$B:$B,$A158))</x:f>
      </x:c>
      <x:c r="C158" s="34" t="str">
        <x:f>IF($A158="","",SUMIFS(Base_Lancamentos!$I:$I,Base_Lancamentos!$B:$B,$A158))</x:f>
      </x:c>
      <x:c r="D158" s="34" t="str">
        <x:f>IF($A158="","",B158-C158)</x:f>
      </x:c>
      <x:c r="E158" s="32" t="str">
        <x:f>IF($A158="","",IFERROR(MAXIFS(Base_Lancamentos!$C:$C,Base_Lancamentos!$B:$B,$A158,Base_Lancamentos!$D:$D,"Intervenção"),""))</x:f>
      </x:c>
      <x:c r="F158" s="60" t="str">
        <x:f>IF($A158="","",COUNTIFS(Base_Lancamentos!$B:$B,$A158,Base_Lancamentos!$D:$D,"Intervenção"))</x:f>
      </x:c>
      <x:c r="G158" s="30" t="str">
        <x:f>IF($A158="","",IF($D158&lt;=0,"ESGOTADO",IF($D158&lt;=Config!$H$2,"SALDO CRÍTICO",IF($D158&lt;=Config!$H$3,"SALDO BAIXO","OK"))))</x:f>
      </x:c>
      <x:c r="H158" s="30" t="str">
        <x:f>IF($A158="","",IF($G158="ESGOTADO","Enviar proposta de novo pack",IF($G158="SALDO CRÍTICO","Contactar cliente para renovação",IF($G158="SALDO BAIXO","Acompanhar saldo","Sem ação imediata"))))</x:f>
      </x:c>
    </x:row>
    <x:row r="159">
      <x:c r="A159" s="30" t="str">
        <x:f>IF(Config!A151="","",Config!A151)</x:f>
      </x:c>
      <x:c r="B159" s="34" t="str">
        <x:f>IF($A159="","",SUMIFS(Base_Lancamentos!$H:$H,Base_Lancamentos!$B:$B,$A159))</x:f>
      </x:c>
      <x:c r="C159" s="34" t="str">
        <x:f>IF($A159="","",SUMIFS(Base_Lancamentos!$I:$I,Base_Lancamentos!$B:$B,$A159))</x:f>
      </x:c>
      <x:c r="D159" s="34" t="str">
        <x:f>IF($A159="","",B159-C159)</x:f>
      </x:c>
      <x:c r="E159" s="32" t="str">
        <x:f>IF($A159="","",IFERROR(MAXIFS(Base_Lancamentos!$C:$C,Base_Lancamentos!$B:$B,$A159,Base_Lancamentos!$D:$D,"Intervenção"),""))</x:f>
      </x:c>
      <x:c r="F159" s="60" t="str">
        <x:f>IF($A159="","",COUNTIFS(Base_Lancamentos!$B:$B,$A159,Base_Lancamentos!$D:$D,"Intervenção"))</x:f>
      </x:c>
      <x:c r="G159" s="30" t="str">
        <x:f>IF($A159="","",IF($D159&lt;=0,"ESGOTADO",IF($D159&lt;=Config!$H$2,"SALDO CRÍTICO",IF($D159&lt;=Config!$H$3,"SALDO BAIXO","OK"))))</x:f>
      </x:c>
      <x:c r="H159" s="30" t="str">
        <x:f>IF($A159="","",IF($G159="ESGOTADO","Enviar proposta de novo pack",IF($G159="SALDO CRÍTICO","Contactar cliente para renovação",IF($G159="SALDO BAIXO","Acompanhar saldo","Sem ação imediata"))))</x:f>
      </x:c>
    </x:row>
    <x:row r="160">
      <x:c r="A160" s="30" t="str">
        <x:f>IF(Config!A152="","",Config!A152)</x:f>
      </x:c>
      <x:c r="B160" s="34" t="str">
        <x:f>IF($A160="","",SUMIFS(Base_Lancamentos!$H:$H,Base_Lancamentos!$B:$B,$A160))</x:f>
      </x:c>
      <x:c r="C160" s="34" t="str">
        <x:f>IF($A160="","",SUMIFS(Base_Lancamentos!$I:$I,Base_Lancamentos!$B:$B,$A160))</x:f>
      </x:c>
      <x:c r="D160" s="34" t="str">
        <x:f>IF($A160="","",B160-C160)</x:f>
      </x:c>
      <x:c r="E160" s="32" t="str">
        <x:f>IF($A160="","",IFERROR(MAXIFS(Base_Lancamentos!$C:$C,Base_Lancamentos!$B:$B,$A160,Base_Lancamentos!$D:$D,"Intervenção"),""))</x:f>
      </x:c>
      <x:c r="F160" s="60" t="str">
        <x:f>IF($A160="","",COUNTIFS(Base_Lancamentos!$B:$B,$A160,Base_Lancamentos!$D:$D,"Intervenção"))</x:f>
      </x:c>
      <x:c r="G160" s="30" t="str">
        <x:f>IF($A160="","",IF($D160&lt;=0,"ESGOTADO",IF($D160&lt;=Config!$H$2,"SALDO CRÍTICO",IF($D160&lt;=Config!$H$3,"SALDO BAIXO","OK"))))</x:f>
      </x:c>
      <x:c r="H160" s="30" t="str">
        <x:f>IF($A160="","",IF($G160="ESGOTADO","Enviar proposta de novo pack",IF($G160="SALDO CRÍTICO","Contactar cliente para renovação",IF($G160="SALDO BAIXO","Acompanhar saldo","Sem ação imediata"))))</x:f>
      </x:c>
    </x:row>
    <x:row r="161">
      <x:c r="A161" s="30" t="str">
        <x:f>IF(Config!A153="","",Config!A153)</x:f>
      </x:c>
      <x:c r="B161" s="34" t="str">
        <x:f>IF($A161="","",SUMIFS(Base_Lancamentos!$H:$H,Base_Lancamentos!$B:$B,$A161))</x:f>
      </x:c>
      <x:c r="C161" s="34" t="str">
        <x:f>IF($A161="","",SUMIFS(Base_Lancamentos!$I:$I,Base_Lancamentos!$B:$B,$A161))</x:f>
      </x:c>
      <x:c r="D161" s="34" t="str">
        <x:f>IF($A161="","",B161-C161)</x:f>
      </x:c>
      <x:c r="E161" s="32" t="str">
        <x:f>IF($A161="","",IFERROR(MAXIFS(Base_Lancamentos!$C:$C,Base_Lancamentos!$B:$B,$A161,Base_Lancamentos!$D:$D,"Intervenção"),""))</x:f>
      </x:c>
      <x:c r="F161" s="60" t="str">
        <x:f>IF($A161="","",COUNTIFS(Base_Lancamentos!$B:$B,$A161,Base_Lancamentos!$D:$D,"Intervenção"))</x:f>
      </x:c>
      <x:c r="G161" s="30" t="str">
        <x:f>IF($A161="","",IF($D161&lt;=0,"ESGOTADO",IF($D161&lt;=Config!$H$2,"SALDO CRÍTICO",IF($D161&lt;=Config!$H$3,"SALDO BAIXO","OK"))))</x:f>
      </x:c>
      <x:c r="H161" s="30" t="str">
        <x:f>IF($A161="","",IF($G161="ESGOTADO","Enviar proposta de novo pack",IF($G161="SALDO CRÍTICO","Contactar cliente para renovação",IF($G161="SALDO BAIXO","Acompanhar saldo","Sem ação imediata"))))</x:f>
      </x:c>
    </x:row>
    <x:row r="162">
      <x:c r="A162" s="30" t="str">
        <x:f>IF(Config!A154="","",Config!A154)</x:f>
      </x:c>
      <x:c r="B162" s="34" t="str">
        <x:f>IF($A162="","",SUMIFS(Base_Lancamentos!$H:$H,Base_Lancamentos!$B:$B,$A162))</x:f>
      </x:c>
      <x:c r="C162" s="34" t="str">
        <x:f>IF($A162="","",SUMIFS(Base_Lancamentos!$I:$I,Base_Lancamentos!$B:$B,$A162))</x:f>
      </x:c>
      <x:c r="D162" s="34" t="str">
        <x:f>IF($A162="","",B162-C162)</x:f>
      </x:c>
      <x:c r="E162" s="32" t="str">
        <x:f>IF($A162="","",IFERROR(MAXIFS(Base_Lancamentos!$C:$C,Base_Lancamentos!$B:$B,$A162,Base_Lancamentos!$D:$D,"Intervenção"),""))</x:f>
      </x:c>
      <x:c r="F162" s="60" t="str">
        <x:f>IF($A162="","",COUNTIFS(Base_Lancamentos!$B:$B,$A162,Base_Lancamentos!$D:$D,"Intervenção"))</x:f>
      </x:c>
      <x:c r="G162" s="30" t="str">
        <x:f>IF($A162="","",IF($D162&lt;=0,"ESGOTADO",IF($D162&lt;=Config!$H$2,"SALDO CRÍTICO",IF($D162&lt;=Config!$H$3,"SALDO BAIXO","OK"))))</x:f>
      </x:c>
      <x:c r="H162" s="30" t="str">
        <x:f>IF($A162="","",IF($G162="ESGOTADO","Enviar proposta de novo pack",IF($G162="SALDO CRÍTICO","Contactar cliente para renovação",IF($G162="SALDO BAIXO","Acompanhar saldo","Sem ação imediata"))))</x:f>
      </x:c>
    </x:row>
    <x:row r="163">
      <x:c r="A163" s="30" t="str">
        <x:f>IF(Config!A155="","",Config!A155)</x:f>
      </x:c>
      <x:c r="B163" s="34" t="str">
        <x:f>IF($A163="","",SUMIFS(Base_Lancamentos!$H:$H,Base_Lancamentos!$B:$B,$A163))</x:f>
      </x:c>
      <x:c r="C163" s="34" t="str">
        <x:f>IF($A163="","",SUMIFS(Base_Lancamentos!$I:$I,Base_Lancamentos!$B:$B,$A163))</x:f>
      </x:c>
      <x:c r="D163" s="34" t="str">
        <x:f>IF($A163="","",B163-C163)</x:f>
      </x:c>
      <x:c r="E163" s="32" t="str">
        <x:f>IF($A163="","",IFERROR(MAXIFS(Base_Lancamentos!$C:$C,Base_Lancamentos!$B:$B,$A163,Base_Lancamentos!$D:$D,"Intervenção"),""))</x:f>
      </x:c>
      <x:c r="F163" s="60" t="str">
        <x:f>IF($A163="","",COUNTIFS(Base_Lancamentos!$B:$B,$A163,Base_Lancamentos!$D:$D,"Intervenção"))</x:f>
      </x:c>
      <x:c r="G163" s="30" t="str">
        <x:f>IF($A163="","",IF($D163&lt;=0,"ESGOTADO",IF($D163&lt;=Config!$H$2,"SALDO CRÍTICO",IF($D163&lt;=Config!$H$3,"SALDO BAIXO","OK"))))</x:f>
      </x:c>
      <x:c r="H163" s="30" t="str">
        <x:f>IF($A163="","",IF($G163="ESGOTADO","Enviar proposta de novo pack",IF($G163="SALDO CRÍTICO","Contactar cliente para renovação",IF($G163="SALDO BAIXO","Acompanhar saldo","Sem ação imediata"))))</x:f>
      </x:c>
    </x:row>
    <x:row r="164">
      <x:c r="A164" s="30" t="str">
        <x:f>IF(Config!A156="","",Config!A156)</x:f>
      </x:c>
      <x:c r="B164" s="34" t="str">
        <x:f>IF($A164="","",SUMIFS(Base_Lancamentos!$H:$H,Base_Lancamentos!$B:$B,$A164))</x:f>
      </x:c>
      <x:c r="C164" s="34" t="str">
        <x:f>IF($A164="","",SUMIFS(Base_Lancamentos!$I:$I,Base_Lancamentos!$B:$B,$A164))</x:f>
      </x:c>
      <x:c r="D164" s="34" t="str">
        <x:f>IF($A164="","",B164-C164)</x:f>
      </x:c>
      <x:c r="E164" s="32" t="str">
        <x:f>IF($A164="","",IFERROR(MAXIFS(Base_Lancamentos!$C:$C,Base_Lancamentos!$B:$B,$A164,Base_Lancamentos!$D:$D,"Intervenção"),""))</x:f>
      </x:c>
      <x:c r="F164" s="60" t="str">
        <x:f>IF($A164="","",COUNTIFS(Base_Lancamentos!$B:$B,$A164,Base_Lancamentos!$D:$D,"Intervenção"))</x:f>
      </x:c>
      <x:c r="G164" s="30" t="str">
        <x:f>IF($A164="","",IF($D164&lt;=0,"ESGOTADO",IF($D164&lt;=Config!$H$2,"SALDO CRÍTICO",IF($D164&lt;=Config!$H$3,"SALDO BAIXO","OK"))))</x:f>
      </x:c>
      <x:c r="H164" s="30" t="str">
        <x:f>IF($A164="","",IF($G164="ESGOTADO","Enviar proposta de novo pack",IF($G164="SALDO CRÍTICO","Contactar cliente para renovação",IF($G164="SALDO BAIXO","Acompanhar saldo","Sem ação imediata"))))</x:f>
      </x:c>
    </x:row>
    <x:row r="165">
      <x:c r="A165" s="30" t="str">
        <x:f>IF(Config!A157="","",Config!A157)</x:f>
      </x:c>
      <x:c r="B165" s="34" t="str">
        <x:f>IF($A165="","",SUMIFS(Base_Lancamentos!$H:$H,Base_Lancamentos!$B:$B,$A165))</x:f>
      </x:c>
      <x:c r="C165" s="34" t="str">
        <x:f>IF($A165="","",SUMIFS(Base_Lancamentos!$I:$I,Base_Lancamentos!$B:$B,$A165))</x:f>
      </x:c>
      <x:c r="D165" s="34" t="str">
        <x:f>IF($A165="","",B165-C165)</x:f>
      </x:c>
      <x:c r="E165" s="32" t="str">
        <x:f>IF($A165="","",IFERROR(MAXIFS(Base_Lancamentos!$C:$C,Base_Lancamentos!$B:$B,$A165,Base_Lancamentos!$D:$D,"Intervenção"),""))</x:f>
      </x:c>
      <x:c r="F165" s="60" t="str">
        <x:f>IF($A165="","",COUNTIFS(Base_Lancamentos!$B:$B,$A165,Base_Lancamentos!$D:$D,"Intervenção"))</x:f>
      </x:c>
      <x:c r="G165" s="30" t="str">
        <x:f>IF($A165="","",IF($D165&lt;=0,"ESGOTADO",IF($D165&lt;=Config!$H$2,"SALDO CRÍTICO",IF($D165&lt;=Config!$H$3,"SALDO BAIXO","OK"))))</x:f>
      </x:c>
      <x:c r="H165" s="30" t="str">
        <x:f>IF($A165="","",IF($G165="ESGOTADO","Enviar proposta de novo pack",IF($G165="SALDO CRÍTICO","Contactar cliente para renovação",IF($G165="SALDO BAIXO","Acompanhar saldo","Sem ação imediata"))))</x:f>
      </x:c>
    </x:row>
    <x:row r="166">
      <x:c r="A166" s="30" t="str">
        <x:f>IF(Config!A158="","",Config!A158)</x:f>
      </x:c>
      <x:c r="B166" s="34" t="str">
        <x:f>IF($A166="","",SUMIFS(Base_Lancamentos!$H:$H,Base_Lancamentos!$B:$B,$A166))</x:f>
      </x:c>
      <x:c r="C166" s="34" t="str">
        <x:f>IF($A166="","",SUMIFS(Base_Lancamentos!$I:$I,Base_Lancamentos!$B:$B,$A166))</x:f>
      </x:c>
      <x:c r="D166" s="34" t="str">
        <x:f>IF($A166="","",B166-C166)</x:f>
      </x:c>
      <x:c r="E166" s="32" t="str">
        <x:f>IF($A166="","",IFERROR(MAXIFS(Base_Lancamentos!$C:$C,Base_Lancamentos!$B:$B,$A166,Base_Lancamentos!$D:$D,"Intervenção"),""))</x:f>
      </x:c>
      <x:c r="F166" s="60" t="str">
        <x:f>IF($A166="","",COUNTIFS(Base_Lancamentos!$B:$B,$A166,Base_Lancamentos!$D:$D,"Intervenção"))</x:f>
      </x:c>
      <x:c r="G166" s="30" t="str">
        <x:f>IF($A166="","",IF($D166&lt;=0,"ESGOTADO",IF($D166&lt;=Config!$H$2,"SALDO CRÍTICO",IF($D166&lt;=Config!$H$3,"SALDO BAIXO","OK"))))</x:f>
      </x:c>
      <x:c r="H166" s="30" t="str">
        <x:f>IF($A166="","",IF($G166="ESGOTADO","Enviar proposta de novo pack",IF($G166="SALDO CRÍTICO","Contactar cliente para renovação",IF($G166="SALDO BAIXO","Acompanhar saldo","Sem ação imediata"))))</x:f>
      </x:c>
    </x:row>
    <x:row r="167">
      <x:c r="A167" s="30" t="str">
        <x:f>IF(Config!A159="","",Config!A159)</x:f>
      </x:c>
      <x:c r="B167" s="34" t="str">
        <x:f>IF($A167="","",SUMIFS(Base_Lancamentos!$H:$H,Base_Lancamentos!$B:$B,$A167))</x:f>
      </x:c>
      <x:c r="C167" s="34" t="str">
        <x:f>IF($A167="","",SUMIFS(Base_Lancamentos!$I:$I,Base_Lancamentos!$B:$B,$A167))</x:f>
      </x:c>
      <x:c r="D167" s="34" t="str">
        <x:f>IF($A167="","",B167-C167)</x:f>
      </x:c>
      <x:c r="E167" s="32" t="str">
        <x:f>IF($A167="","",IFERROR(MAXIFS(Base_Lancamentos!$C:$C,Base_Lancamentos!$B:$B,$A167,Base_Lancamentos!$D:$D,"Intervenção"),""))</x:f>
      </x:c>
      <x:c r="F167" s="60" t="str">
        <x:f>IF($A167="","",COUNTIFS(Base_Lancamentos!$B:$B,$A167,Base_Lancamentos!$D:$D,"Intervenção"))</x:f>
      </x:c>
      <x:c r="G167" s="30" t="str">
        <x:f>IF($A167="","",IF($D167&lt;=0,"ESGOTADO",IF($D167&lt;=Config!$H$2,"SALDO CRÍTICO",IF($D167&lt;=Config!$H$3,"SALDO BAIXO","OK"))))</x:f>
      </x:c>
      <x:c r="H167" s="30" t="str">
        <x:f>IF($A167="","",IF($G167="ESGOTADO","Enviar proposta de novo pack",IF($G167="SALDO CRÍTICO","Contactar cliente para renovação",IF($G167="SALDO BAIXO","Acompanhar saldo","Sem ação imediata"))))</x:f>
      </x:c>
    </x:row>
    <x:row r="168">
      <x:c r="A168" s="30" t="str">
        <x:f>IF(Config!A160="","",Config!A160)</x:f>
      </x:c>
      <x:c r="B168" s="34" t="str">
        <x:f>IF($A168="","",SUMIFS(Base_Lancamentos!$H:$H,Base_Lancamentos!$B:$B,$A168))</x:f>
      </x:c>
      <x:c r="C168" s="34" t="str">
        <x:f>IF($A168="","",SUMIFS(Base_Lancamentos!$I:$I,Base_Lancamentos!$B:$B,$A168))</x:f>
      </x:c>
      <x:c r="D168" s="34" t="str">
        <x:f>IF($A168="","",B168-C168)</x:f>
      </x:c>
      <x:c r="E168" s="32" t="str">
        <x:f>IF($A168="","",IFERROR(MAXIFS(Base_Lancamentos!$C:$C,Base_Lancamentos!$B:$B,$A168,Base_Lancamentos!$D:$D,"Intervenção"),""))</x:f>
      </x:c>
      <x:c r="F168" s="60" t="str">
        <x:f>IF($A168="","",COUNTIFS(Base_Lancamentos!$B:$B,$A168,Base_Lancamentos!$D:$D,"Intervenção"))</x:f>
      </x:c>
      <x:c r="G168" s="30" t="str">
        <x:f>IF($A168="","",IF($D168&lt;=0,"ESGOTADO",IF($D168&lt;=Config!$H$2,"SALDO CRÍTICO",IF($D168&lt;=Config!$H$3,"SALDO BAIXO","OK"))))</x:f>
      </x:c>
      <x:c r="H168" s="30" t="str">
        <x:f>IF($A168="","",IF($G168="ESGOTADO","Enviar proposta de novo pack",IF($G168="SALDO CRÍTICO","Contactar cliente para renovação",IF($G168="SALDO BAIXO","Acompanhar saldo","Sem ação imediata"))))</x:f>
      </x:c>
    </x:row>
    <x:row r="169">
      <x:c r="A169" s="30" t="str">
        <x:f>IF(Config!A161="","",Config!A161)</x:f>
      </x:c>
      <x:c r="B169" s="34" t="str">
        <x:f>IF($A169="","",SUMIFS(Base_Lancamentos!$H:$H,Base_Lancamentos!$B:$B,$A169))</x:f>
      </x:c>
      <x:c r="C169" s="34" t="str">
        <x:f>IF($A169="","",SUMIFS(Base_Lancamentos!$I:$I,Base_Lancamentos!$B:$B,$A169))</x:f>
      </x:c>
      <x:c r="D169" s="34" t="str">
        <x:f>IF($A169="","",B169-C169)</x:f>
      </x:c>
      <x:c r="E169" s="32" t="str">
        <x:f>IF($A169="","",IFERROR(MAXIFS(Base_Lancamentos!$C:$C,Base_Lancamentos!$B:$B,$A169,Base_Lancamentos!$D:$D,"Intervenção"),""))</x:f>
      </x:c>
      <x:c r="F169" s="60" t="str">
        <x:f>IF($A169="","",COUNTIFS(Base_Lancamentos!$B:$B,$A169,Base_Lancamentos!$D:$D,"Intervenção"))</x:f>
      </x:c>
      <x:c r="G169" s="30" t="str">
        <x:f>IF($A169="","",IF($D169&lt;=0,"ESGOTADO",IF($D169&lt;=Config!$H$2,"SALDO CRÍTICO",IF($D169&lt;=Config!$H$3,"SALDO BAIXO","OK"))))</x:f>
      </x:c>
      <x:c r="H169" s="30" t="str">
        <x:f>IF($A169="","",IF($G169="ESGOTADO","Enviar proposta de novo pack",IF($G169="SALDO CRÍTICO","Contactar cliente para renovação",IF($G169="SALDO BAIXO","Acompanhar saldo","Sem ação imediata"))))</x:f>
      </x:c>
    </x:row>
    <x:row r="170">
      <x:c r="A170" s="30" t="str">
        <x:f>IF(Config!A162="","",Config!A162)</x:f>
      </x:c>
      <x:c r="B170" s="34" t="str">
        <x:f>IF($A170="","",SUMIFS(Base_Lancamentos!$H:$H,Base_Lancamentos!$B:$B,$A170))</x:f>
      </x:c>
      <x:c r="C170" s="34" t="str">
        <x:f>IF($A170="","",SUMIFS(Base_Lancamentos!$I:$I,Base_Lancamentos!$B:$B,$A170))</x:f>
      </x:c>
      <x:c r="D170" s="34" t="str">
        <x:f>IF($A170="","",B170-C170)</x:f>
      </x:c>
      <x:c r="E170" s="32" t="str">
        <x:f>IF($A170="","",IFERROR(MAXIFS(Base_Lancamentos!$C:$C,Base_Lancamentos!$B:$B,$A170,Base_Lancamentos!$D:$D,"Intervenção"),""))</x:f>
      </x:c>
      <x:c r="F170" s="60" t="str">
        <x:f>IF($A170="","",COUNTIFS(Base_Lancamentos!$B:$B,$A170,Base_Lancamentos!$D:$D,"Intervenção"))</x:f>
      </x:c>
      <x:c r="G170" s="30" t="str">
        <x:f>IF($A170="","",IF($D170&lt;=0,"ESGOTADO",IF($D170&lt;=Config!$H$2,"SALDO CRÍTICO",IF($D170&lt;=Config!$H$3,"SALDO BAIXO","OK"))))</x:f>
      </x:c>
      <x:c r="H170" s="30" t="str">
        <x:f>IF($A170="","",IF($G170="ESGOTADO","Enviar proposta de novo pack",IF($G170="SALDO CRÍTICO","Contactar cliente para renovação",IF($G170="SALDO BAIXO","Acompanhar saldo","Sem ação imediata"))))</x:f>
      </x:c>
    </x:row>
    <x:row r="171">
      <x:c r="A171" s="30" t="str">
        <x:f>IF(Config!A163="","",Config!A163)</x:f>
      </x:c>
      <x:c r="B171" s="34" t="str">
        <x:f>IF($A171="","",SUMIFS(Base_Lancamentos!$H:$H,Base_Lancamentos!$B:$B,$A171))</x:f>
      </x:c>
      <x:c r="C171" s="34" t="str">
        <x:f>IF($A171="","",SUMIFS(Base_Lancamentos!$I:$I,Base_Lancamentos!$B:$B,$A171))</x:f>
      </x:c>
      <x:c r="D171" s="34" t="str">
        <x:f>IF($A171="","",B171-C171)</x:f>
      </x:c>
      <x:c r="E171" s="32" t="str">
        <x:f>IF($A171="","",IFERROR(MAXIFS(Base_Lancamentos!$C:$C,Base_Lancamentos!$B:$B,$A171,Base_Lancamentos!$D:$D,"Intervenção"),""))</x:f>
      </x:c>
      <x:c r="F171" s="60" t="str">
        <x:f>IF($A171="","",COUNTIFS(Base_Lancamentos!$B:$B,$A171,Base_Lancamentos!$D:$D,"Intervenção"))</x:f>
      </x:c>
      <x:c r="G171" s="30" t="str">
        <x:f>IF($A171="","",IF($D171&lt;=0,"ESGOTADO",IF($D171&lt;=Config!$H$2,"SALDO CRÍTICO",IF($D171&lt;=Config!$H$3,"SALDO BAIXO","OK"))))</x:f>
      </x:c>
      <x:c r="H171" s="30" t="str">
        <x:f>IF($A171="","",IF($G171="ESGOTADO","Enviar proposta de novo pack",IF($G171="SALDO CRÍTICO","Contactar cliente para renovação",IF($G171="SALDO BAIXO","Acompanhar saldo","Sem ação imediata"))))</x:f>
      </x:c>
    </x:row>
    <x:row r="172">
      <x:c r="A172" s="30" t="str">
        <x:f>IF(Config!A164="","",Config!A164)</x:f>
      </x:c>
      <x:c r="B172" s="34" t="str">
        <x:f>IF($A172="","",SUMIFS(Base_Lancamentos!$H:$H,Base_Lancamentos!$B:$B,$A172))</x:f>
      </x:c>
      <x:c r="C172" s="34" t="str">
        <x:f>IF($A172="","",SUMIFS(Base_Lancamentos!$I:$I,Base_Lancamentos!$B:$B,$A172))</x:f>
      </x:c>
      <x:c r="D172" s="34" t="str">
        <x:f>IF($A172="","",B172-C172)</x:f>
      </x:c>
      <x:c r="E172" s="32" t="str">
        <x:f>IF($A172="","",IFERROR(MAXIFS(Base_Lancamentos!$C:$C,Base_Lancamentos!$B:$B,$A172,Base_Lancamentos!$D:$D,"Intervenção"),""))</x:f>
      </x:c>
      <x:c r="F172" s="60" t="str">
        <x:f>IF($A172="","",COUNTIFS(Base_Lancamentos!$B:$B,$A172,Base_Lancamentos!$D:$D,"Intervenção"))</x:f>
      </x:c>
      <x:c r="G172" s="30" t="str">
        <x:f>IF($A172="","",IF($D172&lt;=0,"ESGOTADO",IF($D172&lt;=Config!$H$2,"SALDO CRÍTICO",IF($D172&lt;=Config!$H$3,"SALDO BAIXO","OK"))))</x:f>
      </x:c>
      <x:c r="H172" s="30" t="str">
        <x:f>IF($A172="","",IF($G172="ESGOTADO","Enviar proposta de novo pack",IF($G172="SALDO CRÍTICO","Contactar cliente para renovação",IF($G172="SALDO BAIXO","Acompanhar saldo","Sem ação imediata"))))</x:f>
      </x:c>
    </x:row>
    <x:row r="173">
      <x:c r="A173" s="30" t="str">
        <x:f>IF(Config!A165="","",Config!A165)</x:f>
      </x:c>
      <x:c r="B173" s="34" t="str">
        <x:f>IF($A173="","",SUMIFS(Base_Lancamentos!$H:$H,Base_Lancamentos!$B:$B,$A173))</x:f>
      </x:c>
      <x:c r="C173" s="34" t="str">
        <x:f>IF($A173="","",SUMIFS(Base_Lancamentos!$I:$I,Base_Lancamentos!$B:$B,$A173))</x:f>
      </x:c>
      <x:c r="D173" s="34" t="str">
        <x:f>IF($A173="","",B173-C173)</x:f>
      </x:c>
      <x:c r="E173" s="32" t="str">
        <x:f>IF($A173="","",IFERROR(MAXIFS(Base_Lancamentos!$C:$C,Base_Lancamentos!$B:$B,$A173,Base_Lancamentos!$D:$D,"Intervenção"),""))</x:f>
      </x:c>
      <x:c r="F173" s="60" t="str">
        <x:f>IF($A173="","",COUNTIFS(Base_Lancamentos!$B:$B,$A173,Base_Lancamentos!$D:$D,"Intervenção"))</x:f>
      </x:c>
      <x:c r="G173" s="30" t="str">
        <x:f>IF($A173="","",IF($D173&lt;=0,"ESGOTADO",IF($D173&lt;=Config!$H$2,"SALDO CRÍTICO",IF($D173&lt;=Config!$H$3,"SALDO BAIXO","OK"))))</x:f>
      </x:c>
      <x:c r="H173" s="30" t="str">
        <x:f>IF($A173="","",IF($G173="ESGOTADO","Enviar proposta de novo pack",IF($G173="SALDO CRÍTICO","Contactar cliente para renovação",IF($G173="SALDO BAIXO","Acompanhar saldo","Sem ação imediata"))))</x:f>
      </x:c>
    </x:row>
    <x:row r="174">
      <x:c r="A174" s="30" t="str">
        <x:f>IF(Config!A166="","",Config!A166)</x:f>
      </x:c>
      <x:c r="B174" s="34" t="str">
        <x:f>IF($A174="","",SUMIFS(Base_Lancamentos!$H:$H,Base_Lancamentos!$B:$B,$A174))</x:f>
      </x:c>
      <x:c r="C174" s="34" t="str">
        <x:f>IF($A174="","",SUMIFS(Base_Lancamentos!$I:$I,Base_Lancamentos!$B:$B,$A174))</x:f>
      </x:c>
      <x:c r="D174" s="34" t="str">
        <x:f>IF($A174="","",B174-C174)</x:f>
      </x:c>
      <x:c r="E174" s="32" t="str">
        <x:f>IF($A174="","",IFERROR(MAXIFS(Base_Lancamentos!$C:$C,Base_Lancamentos!$B:$B,$A174,Base_Lancamentos!$D:$D,"Intervenção"),""))</x:f>
      </x:c>
      <x:c r="F174" s="60" t="str">
        <x:f>IF($A174="","",COUNTIFS(Base_Lancamentos!$B:$B,$A174,Base_Lancamentos!$D:$D,"Intervenção"))</x:f>
      </x:c>
      <x:c r="G174" s="30" t="str">
        <x:f>IF($A174="","",IF($D174&lt;=0,"ESGOTADO",IF($D174&lt;=Config!$H$2,"SALDO CRÍTICO",IF($D174&lt;=Config!$H$3,"SALDO BAIXO","OK"))))</x:f>
      </x:c>
      <x:c r="H174" s="30" t="str">
        <x:f>IF($A174="","",IF($G174="ESGOTADO","Enviar proposta de novo pack",IF($G174="SALDO CRÍTICO","Contactar cliente para renovação",IF($G174="SALDO BAIXO","Acompanhar saldo","Sem ação imediata"))))</x:f>
      </x:c>
    </x:row>
    <x:row r="175">
      <x:c r="A175" s="30" t="str">
        <x:f>IF(Config!A167="","",Config!A167)</x:f>
      </x:c>
      <x:c r="B175" s="34" t="str">
        <x:f>IF($A175="","",SUMIFS(Base_Lancamentos!$H:$H,Base_Lancamentos!$B:$B,$A175))</x:f>
      </x:c>
      <x:c r="C175" s="34" t="str">
        <x:f>IF($A175="","",SUMIFS(Base_Lancamentos!$I:$I,Base_Lancamentos!$B:$B,$A175))</x:f>
      </x:c>
      <x:c r="D175" s="34" t="str">
        <x:f>IF($A175="","",B175-C175)</x:f>
      </x:c>
      <x:c r="E175" s="32" t="str">
        <x:f>IF($A175="","",IFERROR(MAXIFS(Base_Lancamentos!$C:$C,Base_Lancamentos!$B:$B,$A175,Base_Lancamentos!$D:$D,"Intervenção"),""))</x:f>
      </x:c>
      <x:c r="F175" s="60" t="str">
        <x:f>IF($A175="","",COUNTIFS(Base_Lancamentos!$B:$B,$A175,Base_Lancamentos!$D:$D,"Intervenção"))</x:f>
      </x:c>
      <x:c r="G175" s="30" t="str">
        <x:f>IF($A175="","",IF($D175&lt;=0,"ESGOTADO",IF($D175&lt;=Config!$H$2,"SALDO CRÍTICO",IF($D175&lt;=Config!$H$3,"SALDO BAIXO","OK"))))</x:f>
      </x:c>
      <x:c r="H175" s="30" t="str">
        <x:f>IF($A175="","",IF($G175="ESGOTADO","Enviar proposta de novo pack",IF($G175="SALDO CRÍTICO","Contactar cliente para renovação",IF($G175="SALDO BAIXO","Acompanhar saldo","Sem ação imediata"))))</x:f>
      </x:c>
    </x:row>
    <x:row r="176">
      <x:c r="A176" s="30" t="str">
        <x:f>IF(Config!A168="","",Config!A168)</x:f>
      </x:c>
      <x:c r="B176" s="34" t="str">
        <x:f>IF($A176="","",SUMIFS(Base_Lancamentos!$H:$H,Base_Lancamentos!$B:$B,$A176))</x:f>
      </x:c>
      <x:c r="C176" s="34" t="str">
        <x:f>IF($A176="","",SUMIFS(Base_Lancamentos!$I:$I,Base_Lancamentos!$B:$B,$A176))</x:f>
      </x:c>
      <x:c r="D176" s="34" t="str">
        <x:f>IF($A176="","",B176-C176)</x:f>
      </x:c>
      <x:c r="E176" s="32" t="str">
        <x:f>IF($A176="","",IFERROR(MAXIFS(Base_Lancamentos!$C:$C,Base_Lancamentos!$B:$B,$A176,Base_Lancamentos!$D:$D,"Intervenção"),""))</x:f>
      </x:c>
      <x:c r="F176" s="60" t="str">
        <x:f>IF($A176="","",COUNTIFS(Base_Lancamentos!$B:$B,$A176,Base_Lancamentos!$D:$D,"Intervenção"))</x:f>
      </x:c>
      <x:c r="G176" s="30" t="str">
        <x:f>IF($A176="","",IF($D176&lt;=0,"ESGOTADO",IF($D176&lt;=Config!$H$2,"SALDO CRÍTICO",IF($D176&lt;=Config!$H$3,"SALDO BAIXO","OK"))))</x:f>
      </x:c>
      <x:c r="H176" s="30" t="str">
        <x:f>IF($A176="","",IF($G176="ESGOTADO","Enviar proposta de novo pack",IF($G176="SALDO CRÍTICO","Contactar cliente para renovação",IF($G176="SALDO BAIXO","Acompanhar saldo","Sem ação imediata"))))</x:f>
      </x:c>
    </x:row>
    <x:row r="177">
      <x:c r="A177" s="30" t="str">
        <x:f>IF(Config!A169="","",Config!A169)</x:f>
      </x:c>
      <x:c r="B177" s="34" t="str">
        <x:f>IF($A177="","",SUMIFS(Base_Lancamentos!$H:$H,Base_Lancamentos!$B:$B,$A177))</x:f>
      </x:c>
      <x:c r="C177" s="34" t="str">
        <x:f>IF($A177="","",SUMIFS(Base_Lancamentos!$I:$I,Base_Lancamentos!$B:$B,$A177))</x:f>
      </x:c>
      <x:c r="D177" s="34" t="str">
        <x:f>IF($A177="","",B177-C177)</x:f>
      </x:c>
      <x:c r="E177" s="32" t="str">
        <x:f>IF($A177="","",IFERROR(MAXIFS(Base_Lancamentos!$C:$C,Base_Lancamentos!$B:$B,$A177,Base_Lancamentos!$D:$D,"Intervenção"),""))</x:f>
      </x:c>
      <x:c r="F177" s="60" t="str">
        <x:f>IF($A177="","",COUNTIFS(Base_Lancamentos!$B:$B,$A177,Base_Lancamentos!$D:$D,"Intervenção"))</x:f>
      </x:c>
      <x:c r="G177" s="30" t="str">
        <x:f>IF($A177="","",IF($D177&lt;=0,"ESGOTADO",IF($D177&lt;=Config!$H$2,"SALDO CRÍTICO",IF($D177&lt;=Config!$H$3,"SALDO BAIXO","OK"))))</x:f>
      </x:c>
      <x:c r="H177" s="30" t="str">
        <x:f>IF($A177="","",IF($G177="ESGOTADO","Enviar proposta de novo pack",IF($G177="SALDO CRÍTICO","Contactar cliente para renovação",IF($G177="SALDO BAIXO","Acompanhar saldo","Sem ação imediata"))))</x:f>
      </x:c>
    </x:row>
    <x:row r="178">
      <x:c r="A178" s="30" t="str">
        <x:f>IF(Config!A170="","",Config!A170)</x:f>
      </x:c>
      <x:c r="B178" s="34" t="str">
        <x:f>IF($A178="","",SUMIFS(Base_Lancamentos!$H:$H,Base_Lancamentos!$B:$B,$A178))</x:f>
      </x:c>
      <x:c r="C178" s="34" t="str">
        <x:f>IF($A178="","",SUMIFS(Base_Lancamentos!$I:$I,Base_Lancamentos!$B:$B,$A178))</x:f>
      </x:c>
      <x:c r="D178" s="34" t="str">
        <x:f>IF($A178="","",B178-C178)</x:f>
      </x:c>
      <x:c r="E178" s="32" t="str">
        <x:f>IF($A178="","",IFERROR(MAXIFS(Base_Lancamentos!$C:$C,Base_Lancamentos!$B:$B,$A178,Base_Lancamentos!$D:$D,"Intervenção"),""))</x:f>
      </x:c>
      <x:c r="F178" s="60" t="str">
        <x:f>IF($A178="","",COUNTIFS(Base_Lancamentos!$B:$B,$A178,Base_Lancamentos!$D:$D,"Intervenção"))</x:f>
      </x:c>
      <x:c r="G178" s="30" t="str">
        <x:f>IF($A178="","",IF($D178&lt;=0,"ESGOTADO",IF($D178&lt;=Config!$H$2,"SALDO CRÍTICO",IF($D178&lt;=Config!$H$3,"SALDO BAIXO","OK"))))</x:f>
      </x:c>
      <x:c r="H178" s="30" t="str">
        <x:f>IF($A178="","",IF($G178="ESGOTADO","Enviar proposta de novo pack",IF($G178="SALDO CRÍTICO","Contactar cliente para renovação",IF($G178="SALDO BAIXO","Acompanhar saldo","Sem ação imediata"))))</x:f>
      </x:c>
    </x:row>
    <x:row r="179">
      <x:c r="A179" s="30" t="str">
        <x:f>IF(Config!A171="","",Config!A171)</x:f>
      </x:c>
      <x:c r="B179" s="34" t="str">
        <x:f>IF($A179="","",SUMIFS(Base_Lancamentos!$H:$H,Base_Lancamentos!$B:$B,$A179))</x:f>
      </x:c>
      <x:c r="C179" s="34" t="str">
        <x:f>IF($A179="","",SUMIFS(Base_Lancamentos!$I:$I,Base_Lancamentos!$B:$B,$A179))</x:f>
      </x:c>
      <x:c r="D179" s="34" t="str">
        <x:f>IF($A179="","",B179-C179)</x:f>
      </x:c>
      <x:c r="E179" s="32" t="str">
        <x:f>IF($A179="","",IFERROR(MAXIFS(Base_Lancamentos!$C:$C,Base_Lancamentos!$B:$B,$A179,Base_Lancamentos!$D:$D,"Intervenção"),""))</x:f>
      </x:c>
      <x:c r="F179" s="60" t="str">
        <x:f>IF($A179="","",COUNTIFS(Base_Lancamentos!$B:$B,$A179,Base_Lancamentos!$D:$D,"Intervenção"))</x:f>
      </x:c>
      <x:c r="G179" s="30" t="str">
        <x:f>IF($A179="","",IF($D179&lt;=0,"ESGOTADO",IF($D179&lt;=Config!$H$2,"SALDO CRÍTICO",IF($D179&lt;=Config!$H$3,"SALDO BAIXO","OK"))))</x:f>
      </x:c>
      <x:c r="H179" s="30" t="str">
        <x:f>IF($A179="","",IF($G179="ESGOTADO","Enviar proposta de novo pack",IF($G179="SALDO CRÍTICO","Contactar cliente para renovação",IF($G179="SALDO BAIXO","Acompanhar saldo","Sem ação imediata"))))</x:f>
      </x:c>
    </x:row>
    <x:row r="180">
      <x:c r="A180" s="30" t="str">
        <x:f>IF(Config!A172="","",Config!A172)</x:f>
      </x:c>
      <x:c r="B180" s="34" t="str">
        <x:f>IF($A180="","",SUMIFS(Base_Lancamentos!$H:$H,Base_Lancamentos!$B:$B,$A180))</x:f>
      </x:c>
      <x:c r="C180" s="34" t="str">
        <x:f>IF($A180="","",SUMIFS(Base_Lancamentos!$I:$I,Base_Lancamentos!$B:$B,$A180))</x:f>
      </x:c>
      <x:c r="D180" s="34" t="str">
        <x:f>IF($A180="","",B180-C180)</x:f>
      </x:c>
      <x:c r="E180" s="32" t="str">
        <x:f>IF($A180="","",IFERROR(MAXIFS(Base_Lancamentos!$C:$C,Base_Lancamentos!$B:$B,$A180,Base_Lancamentos!$D:$D,"Intervenção"),""))</x:f>
      </x:c>
      <x:c r="F180" s="60" t="str">
        <x:f>IF($A180="","",COUNTIFS(Base_Lancamentos!$B:$B,$A180,Base_Lancamentos!$D:$D,"Intervenção"))</x:f>
      </x:c>
      <x:c r="G180" s="30" t="str">
        <x:f>IF($A180="","",IF($D180&lt;=0,"ESGOTADO",IF($D180&lt;=Config!$H$2,"SALDO CRÍTICO",IF($D180&lt;=Config!$H$3,"SALDO BAIXO","OK"))))</x:f>
      </x:c>
      <x:c r="H180" s="30" t="str">
        <x:f>IF($A180="","",IF($G180="ESGOTADO","Enviar proposta de novo pack",IF($G180="SALDO CRÍTICO","Contactar cliente para renovação",IF($G180="SALDO BAIXO","Acompanhar saldo","Sem ação imediata"))))</x:f>
      </x:c>
    </x:row>
    <x:row r="181">
      <x:c r="A181" s="30" t="str">
        <x:f>IF(Config!A173="","",Config!A173)</x:f>
      </x:c>
      <x:c r="B181" s="34" t="str">
        <x:f>IF($A181="","",SUMIFS(Base_Lancamentos!$H:$H,Base_Lancamentos!$B:$B,$A181))</x:f>
      </x:c>
      <x:c r="C181" s="34" t="str">
        <x:f>IF($A181="","",SUMIFS(Base_Lancamentos!$I:$I,Base_Lancamentos!$B:$B,$A181))</x:f>
      </x:c>
      <x:c r="D181" s="34" t="str">
        <x:f>IF($A181="","",B181-C181)</x:f>
      </x:c>
      <x:c r="E181" s="32" t="str">
        <x:f>IF($A181="","",IFERROR(MAXIFS(Base_Lancamentos!$C:$C,Base_Lancamentos!$B:$B,$A181,Base_Lancamentos!$D:$D,"Intervenção"),""))</x:f>
      </x:c>
      <x:c r="F181" s="60" t="str">
        <x:f>IF($A181="","",COUNTIFS(Base_Lancamentos!$B:$B,$A181,Base_Lancamentos!$D:$D,"Intervenção"))</x:f>
      </x:c>
      <x:c r="G181" s="30" t="str">
        <x:f>IF($A181="","",IF($D181&lt;=0,"ESGOTADO",IF($D181&lt;=Config!$H$2,"SALDO CRÍTICO",IF($D181&lt;=Config!$H$3,"SALDO BAIXO","OK"))))</x:f>
      </x:c>
      <x:c r="H181" s="30" t="str">
        <x:f>IF($A181="","",IF($G181="ESGOTADO","Enviar proposta de novo pack",IF($G181="SALDO CRÍTICO","Contactar cliente para renovação",IF($G181="SALDO BAIXO","Acompanhar saldo","Sem ação imediata"))))</x:f>
      </x:c>
    </x:row>
    <x:row r="182">
      <x:c r="A182" s="30" t="str">
        <x:f>IF(Config!A174="","",Config!A174)</x:f>
      </x:c>
      <x:c r="B182" s="34" t="str">
        <x:f>IF($A182="","",SUMIFS(Base_Lancamentos!$H:$H,Base_Lancamentos!$B:$B,$A182))</x:f>
      </x:c>
      <x:c r="C182" s="34" t="str">
        <x:f>IF($A182="","",SUMIFS(Base_Lancamentos!$I:$I,Base_Lancamentos!$B:$B,$A182))</x:f>
      </x:c>
      <x:c r="D182" s="34" t="str">
        <x:f>IF($A182="","",B182-C182)</x:f>
      </x:c>
      <x:c r="E182" s="32" t="str">
        <x:f>IF($A182="","",IFERROR(MAXIFS(Base_Lancamentos!$C:$C,Base_Lancamentos!$B:$B,$A182,Base_Lancamentos!$D:$D,"Intervenção"),""))</x:f>
      </x:c>
      <x:c r="F182" s="60" t="str">
        <x:f>IF($A182="","",COUNTIFS(Base_Lancamentos!$B:$B,$A182,Base_Lancamentos!$D:$D,"Intervenção"))</x:f>
      </x:c>
      <x:c r="G182" s="30" t="str">
        <x:f>IF($A182="","",IF($D182&lt;=0,"ESGOTADO",IF($D182&lt;=Config!$H$2,"SALDO CRÍTICO",IF($D182&lt;=Config!$H$3,"SALDO BAIXO","OK"))))</x:f>
      </x:c>
      <x:c r="H182" s="30" t="str">
        <x:f>IF($A182="","",IF($G182="ESGOTADO","Enviar proposta de novo pack",IF($G182="SALDO CRÍTICO","Contactar cliente para renovação",IF($G182="SALDO BAIXO","Acompanhar saldo","Sem ação imediata"))))</x:f>
      </x:c>
    </x:row>
    <x:row r="183">
      <x:c r="A183" s="30" t="str">
        <x:f>IF(Config!A175="","",Config!A175)</x:f>
      </x:c>
      <x:c r="B183" s="34" t="str">
        <x:f>IF($A183="","",SUMIFS(Base_Lancamentos!$H:$H,Base_Lancamentos!$B:$B,$A183))</x:f>
      </x:c>
      <x:c r="C183" s="34" t="str">
        <x:f>IF($A183="","",SUMIFS(Base_Lancamentos!$I:$I,Base_Lancamentos!$B:$B,$A183))</x:f>
      </x:c>
      <x:c r="D183" s="34" t="str">
        <x:f>IF($A183="","",B183-C183)</x:f>
      </x:c>
      <x:c r="E183" s="32" t="str">
        <x:f>IF($A183="","",IFERROR(MAXIFS(Base_Lancamentos!$C:$C,Base_Lancamentos!$B:$B,$A183,Base_Lancamentos!$D:$D,"Intervenção"),""))</x:f>
      </x:c>
      <x:c r="F183" s="60" t="str">
        <x:f>IF($A183="","",COUNTIFS(Base_Lancamentos!$B:$B,$A183,Base_Lancamentos!$D:$D,"Intervenção"))</x:f>
      </x:c>
      <x:c r="G183" s="30" t="str">
        <x:f>IF($A183="","",IF($D183&lt;=0,"ESGOTADO",IF($D183&lt;=Config!$H$2,"SALDO CRÍTICO",IF($D183&lt;=Config!$H$3,"SALDO BAIXO","OK"))))</x:f>
      </x:c>
      <x:c r="H183" s="30" t="str">
        <x:f>IF($A183="","",IF($G183="ESGOTADO","Enviar proposta de novo pack",IF($G183="SALDO CRÍTICO","Contactar cliente para renovação",IF($G183="SALDO BAIXO","Acompanhar saldo","Sem ação imediata"))))</x:f>
      </x:c>
    </x:row>
    <x:row r="184">
      <x:c r="A184" s="30" t="str">
        <x:f>IF(Config!A176="","",Config!A176)</x:f>
      </x:c>
      <x:c r="B184" s="34" t="str">
        <x:f>IF($A184="","",SUMIFS(Base_Lancamentos!$H:$H,Base_Lancamentos!$B:$B,$A184))</x:f>
      </x:c>
      <x:c r="C184" s="34" t="str">
        <x:f>IF($A184="","",SUMIFS(Base_Lancamentos!$I:$I,Base_Lancamentos!$B:$B,$A184))</x:f>
      </x:c>
      <x:c r="D184" s="34" t="str">
        <x:f>IF($A184="","",B184-C184)</x:f>
      </x:c>
      <x:c r="E184" s="32" t="str">
        <x:f>IF($A184="","",IFERROR(MAXIFS(Base_Lancamentos!$C:$C,Base_Lancamentos!$B:$B,$A184,Base_Lancamentos!$D:$D,"Intervenção"),""))</x:f>
      </x:c>
      <x:c r="F184" s="60" t="str">
        <x:f>IF($A184="","",COUNTIFS(Base_Lancamentos!$B:$B,$A184,Base_Lancamentos!$D:$D,"Intervenção"))</x:f>
      </x:c>
      <x:c r="G184" s="30" t="str">
        <x:f>IF($A184="","",IF($D184&lt;=0,"ESGOTADO",IF($D184&lt;=Config!$H$2,"SALDO CRÍTICO",IF($D184&lt;=Config!$H$3,"SALDO BAIXO","OK"))))</x:f>
      </x:c>
      <x:c r="H184" s="30" t="str">
        <x:f>IF($A184="","",IF($G184="ESGOTADO","Enviar proposta de novo pack",IF($G184="SALDO CRÍTICO","Contactar cliente para renovação",IF($G184="SALDO BAIXO","Acompanhar saldo","Sem ação imediata"))))</x:f>
      </x:c>
    </x:row>
    <x:row r="185">
      <x:c r="A185" s="30" t="str">
        <x:f>IF(Config!A177="","",Config!A177)</x:f>
      </x:c>
      <x:c r="B185" s="34" t="str">
        <x:f>IF($A185="","",SUMIFS(Base_Lancamentos!$H:$H,Base_Lancamentos!$B:$B,$A185))</x:f>
      </x:c>
      <x:c r="C185" s="34" t="str">
        <x:f>IF($A185="","",SUMIFS(Base_Lancamentos!$I:$I,Base_Lancamentos!$B:$B,$A185))</x:f>
      </x:c>
      <x:c r="D185" s="34" t="str">
        <x:f>IF($A185="","",B185-C185)</x:f>
      </x:c>
      <x:c r="E185" s="32" t="str">
        <x:f>IF($A185="","",IFERROR(MAXIFS(Base_Lancamentos!$C:$C,Base_Lancamentos!$B:$B,$A185,Base_Lancamentos!$D:$D,"Intervenção"),""))</x:f>
      </x:c>
      <x:c r="F185" s="60" t="str">
        <x:f>IF($A185="","",COUNTIFS(Base_Lancamentos!$B:$B,$A185,Base_Lancamentos!$D:$D,"Intervenção"))</x:f>
      </x:c>
      <x:c r="G185" s="30" t="str">
        <x:f>IF($A185="","",IF($D185&lt;=0,"ESGOTADO",IF($D185&lt;=Config!$H$2,"SALDO CRÍTICO",IF($D185&lt;=Config!$H$3,"SALDO BAIXO","OK"))))</x:f>
      </x:c>
      <x:c r="H185" s="30" t="str">
        <x:f>IF($A185="","",IF($G185="ESGOTADO","Enviar proposta de novo pack",IF($G185="SALDO CRÍTICO","Contactar cliente para renovação",IF($G185="SALDO BAIXO","Acompanhar saldo","Sem ação imediata"))))</x:f>
      </x:c>
    </x:row>
    <x:row r="186">
      <x:c r="A186" s="30" t="str">
        <x:f>IF(Config!A178="","",Config!A178)</x:f>
      </x:c>
      <x:c r="B186" s="34" t="str">
        <x:f>IF($A186="","",SUMIFS(Base_Lancamentos!$H:$H,Base_Lancamentos!$B:$B,$A186))</x:f>
      </x:c>
      <x:c r="C186" s="34" t="str">
        <x:f>IF($A186="","",SUMIFS(Base_Lancamentos!$I:$I,Base_Lancamentos!$B:$B,$A186))</x:f>
      </x:c>
      <x:c r="D186" s="34" t="str">
        <x:f>IF($A186="","",B186-C186)</x:f>
      </x:c>
      <x:c r="E186" s="32" t="str">
        <x:f>IF($A186="","",IFERROR(MAXIFS(Base_Lancamentos!$C:$C,Base_Lancamentos!$B:$B,$A186,Base_Lancamentos!$D:$D,"Intervenção"),""))</x:f>
      </x:c>
      <x:c r="F186" s="60" t="str">
        <x:f>IF($A186="","",COUNTIFS(Base_Lancamentos!$B:$B,$A186,Base_Lancamentos!$D:$D,"Intervenção"))</x:f>
      </x:c>
      <x:c r="G186" s="30" t="str">
        <x:f>IF($A186="","",IF($D186&lt;=0,"ESGOTADO",IF($D186&lt;=Config!$H$2,"SALDO CRÍTICO",IF($D186&lt;=Config!$H$3,"SALDO BAIXO","OK"))))</x:f>
      </x:c>
      <x:c r="H186" s="30" t="str">
        <x:f>IF($A186="","",IF($G186="ESGOTADO","Enviar proposta de novo pack",IF($G186="SALDO CRÍTICO","Contactar cliente para renovação",IF($G186="SALDO BAIXO","Acompanhar saldo","Sem ação imediata"))))</x:f>
      </x:c>
    </x:row>
    <x:row r="187">
      <x:c r="A187" s="30" t="str">
        <x:f>IF(Config!A179="","",Config!A179)</x:f>
      </x:c>
      <x:c r="B187" s="34" t="str">
        <x:f>IF($A187="","",SUMIFS(Base_Lancamentos!$H:$H,Base_Lancamentos!$B:$B,$A187))</x:f>
      </x:c>
      <x:c r="C187" s="34" t="str">
        <x:f>IF($A187="","",SUMIFS(Base_Lancamentos!$I:$I,Base_Lancamentos!$B:$B,$A187))</x:f>
      </x:c>
      <x:c r="D187" s="34" t="str">
        <x:f>IF($A187="","",B187-C187)</x:f>
      </x:c>
      <x:c r="E187" s="32" t="str">
        <x:f>IF($A187="","",IFERROR(MAXIFS(Base_Lancamentos!$C:$C,Base_Lancamentos!$B:$B,$A187,Base_Lancamentos!$D:$D,"Intervenção"),""))</x:f>
      </x:c>
      <x:c r="F187" s="60" t="str">
        <x:f>IF($A187="","",COUNTIFS(Base_Lancamentos!$B:$B,$A187,Base_Lancamentos!$D:$D,"Intervenção"))</x:f>
      </x:c>
      <x:c r="G187" s="30" t="str">
        <x:f>IF($A187="","",IF($D187&lt;=0,"ESGOTADO",IF($D187&lt;=Config!$H$2,"SALDO CRÍTICO",IF($D187&lt;=Config!$H$3,"SALDO BAIXO","OK"))))</x:f>
      </x:c>
      <x:c r="H187" s="30" t="str">
        <x:f>IF($A187="","",IF($G187="ESGOTADO","Enviar proposta de novo pack",IF($G187="SALDO CRÍTICO","Contactar cliente para renovação",IF($G187="SALDO BAIXO","Acompanhar saldo","Sem ação imediata"))))</x:f>
      </x:c>
    </x:row>
    <x:row r="188">
      <x:c r="A188" s="30" t="str">
        <x:f>IF(Config!A180="","",Config!A180)</x:f>
      </x:c>
      <x:c r="B188" s="34" t="str">
        <x:f>IF($A188="","",SUMIFS(Base_Lancamentos!$H:$H,Base_Lancamentos!$B:$B,$A188))</x:f>
      </x:c>
      <x:c r="C188" s="34" t="str">
        <x:f>IF($A188="","",SUMIFS(Base_Lancamentos!$I:$I,Base_Lancamentos!$B:$B,$A188))</x:f>
      </x:c>
      <x:c r="D188" s="34" t="str">
        <x:f>IF($A188="","",B188-C188)</x:f>
      </x:c>
      <x:c r="E188" s="32" t="str">
        <x:f>IF($A188="","",IFERROR(MAXIFS(Base_Lancamentos!$C:$C,Base_Lancamentos!$B:$B,$A188,Base_Lancamentos!$D:$D,"Intervenção"),""))</x:f>
      </x:c>
      <x:c r="F188" s="60" t="str">
        <x:f>IF($A188="","",COUNTIFS(Base_Lancamentos!$B:$B,$A188,Base_Lancamentos!$D:$D,"Intervenção"))</x:f>
      </x:c>
      <x:c r="G188" s="30" t="str">
        <x:f>IF($A188="","",IF($D188&lt;=0,"ESGOTADO",IF($D188&lt;=Config!$H$2,"SALDO CRÍTICO",IF($D188&lt;=Config!$H$3,"SALDO BAIXO","OK"))))</x:f>
      </x:c>
      <x:c r="H188" s="30" t="str">
        <x:f>IF($A188="","",IF($G188="ESGOTADO","Enviar proposta de novo pack",IF($G188="SALDO CRÍTICO","Contactar cliente para renovação",IF($G188="SALDO BAIXO","Acompanhar saldo","Sem ação imediata"))))</x:f>
      </x:c>
    </x:row>
    <x:row r="189">
      <x:c r="A189" s="30" t="str">
        <x:f>IF(Config!A181="","",Config!A181)</x:f>
      </x:c>
      <x:c r="B189" s="34" t="str">
        <x:f>IF($A189="","",SUMIFS(Base_Lancamentos!$H:$H,Base_Lancamentos!$B:$B,$A189))</x:f>
      </x:c>
      <x:c r="C189" s="34" t="str">
        <x:f>IF($A189="","",SUMIFS(Base_Lancamentos!$I:$I,Base_Lancamentos!$B:$B,$A189))</x:f>
      </x:c>
      <x:c r="D189" s="34" t="str">
        <x:f>IF($A189="","",B189-C189)</x:f>
      </x:c>
      <x:c r="E189" s="32" t="str">
        <x:f>IF($A189="","",IFERROR(MAXIFS(Base_Lancamentos!$C:$C,Base_Lancamentos!$B:$B,$A189,Base_Lancamentos!$D:$D,"Intervenção"),""))</x:f>
      </x:c>
      <x:c r="F189" s="60" t="str">
        <x:f>IF($A189="","",COUNTIFS(Base_Lancamentos!$B:$B,$A189,Base_Lancamentos!$D:$D,"Intervenção"))</x:f>
      </x:c>
      <x:c r="G189" s="30" t="str">
        <x:f>IF($A189="","",IF($D189&lt;=0,"ESGOTADO",IF($D189&lt;=Config!$H$2,"SALDO CRÍTICO",IF($D189&lt;=Config!$H$3,"SALDO BAIXO","OK"))))</x:f>
      </x:c>
      <x:c r="H189" s="30" t="str">
        <x:f>IF($A189="","",IF($G189="ESGOTADO","Enviar proposta de novo pack",IF($G189="SALDO CRÍTICO","Contactar cliente para renovação",IF($G189="SALDO BAIXO","Acompanhar saldo","Sem ação imediata"))))</x:f>
      </x:c>
    </x:row>
    <x:row r="190">
      <x:c r="A190" s="30" t="str">
        <x:f>IF(Config!A182="","",Config!A182)</x:f>
      </x:c>
      <x:c r="B190" s="34" t="str">
        <x:f>IF($A190="","",SUMIFS(Base_Lancamentos!$H:$H,Base_Lancamentos!$B:$B,$A190))</x:f>
      </x:c>
      <x:c r="C190" s="34" t="str">
        <x:f>IF($A190="","",SUMIFS(Base_Lancamentos!$I:$I,Base_Lancamentos!$B:$B,$A190))</x:f>
      </x:c>
      <x:c r="D190" s="34" t="str">
        <x:f>IF($A190="","",B190-C190)</x:f>
      </x:c>
      <x:c r="E190" s="32" t="str">
        <x:f>IF($A190="","",IFERROR(MAXIFS(Base_Lancamentos!$C:$C,Base_Lancamentos!$B:$B,$A190,Base_Lancamentos!$D:$D,"Intervenção"),""))</x:f>
      </x:c>
      <x:c r="F190" s="60" t="str">
        <x:f>IF($A190="","",COUNTIFS(Base_Lancamentos!$B:$B,$A190,Base_Lancamentos!$D:$D,"Intervenção"))</x:f>
      </x:c>
      <x:c r="G190" s="30" t="str">
        <x:f>IF($A190="","",IF($D190&lt;=0,"ESGOTADO",IF($D190&lt;=Config!$H$2,"SALDO CRÍTICO",IF($D190&lt;=Config!$H$3,"SALDO BAIXO","OK"))))</x:f>
      </x:c>
      <x:c r="H190" s="30" t="str">
        <x:f>IF($A190="","",IF($G190="ESGOTADO","Enviar proposta de novo pack",IF($G190="SALDO CRÍTICO","Contactar cliente para renovação",IF($G190="SALDO BAIXO","Acompanhar saldo","Sem ação imediata"))))</x:f>
      </x:c>
    </x:row>
    <x:row r="191">
      <x:c r="A191" s="30" t="str">
        <x:f>IF(Config!A183="","",Config!A183)</x:f>
      </x:c>
      <x:c r="B191" s="34" t="str">
        <x:f>IF($A191="","",SUMIFS(Base_Lancamentos!$H:$H,Base_Lancamentos!$B:$B,$A191))</x:f>
      </x:c>
      <x:c r="C191" s="34" t="str">
        <x:f>IF($A191="","",SUMIFS(Base_Lancamentos!$I:$I,Base_Lancamentos!$B:$B,$A191))</x:f>
      </x:c>
      <x:c r="D191" s="34" t="str">
        <x:f>IF($A191="","",B191-C191)</x:f>
      </x:c>
      <x:c r="E191" s="32" t="str">
        <x:f>IF($A191="","",IFERROR(MAXIFS(Base_Lancamentos!$C:$C,Base_Lancamentos!$B:$B,$A191,Base_Lancamentos!$D:$D,"Intervenção"),""))</x:f>
      </x:c>
      <x:c r="F191" s="60" t="str">
        <x:f>IF($A191="","",COUNTIFS(Base_Lancamentos!$B:$B,$A191,Base_Lancamentos!$D:$D,"Intervenção"))</x:f>
      </x:c>
      <x:c r="G191" s="30" t="str">
        <x:f>IF($A191="","",IF($D191&lt;=0,"ESGOTADO",IF($D191&lt;=Config!$H$2,"SALDO CRÍTICO",IF($D191&lt;=Config!$H$3,"SALDO BAIXO","OK"))))</x:f>
      </x:c>
      <x:c r="H191" s="30" t="str">
        <x:f>IF($A191="","",IF($G191="ESGOTADO","Enviar proposta de novo pack",IF($G191="SALDO CRÍTICO","Contactar cliente para renovação",IF($G191="SALDO BAIXO","Acompanhar saldo","Sem ação imediata"))))</x:f>
      </x:c>
    </x:row>
    <x:row r="192">
      <x:c r="A192" s="30" t="str">
        <x:f>IF(Config!A184="","",Config!A184)</x:f>
      </x:c>
      <x:c r="B192" s="34" t="str">
        <x:f>IF($A192="","",SUMIFS(Base_Lancamentos!$H:$H,Base_Lancamentos!$B:$B,$A192))</x:f>
      </x:c>
      <x:c r="C192" s="34" t="str">
        <x:f>IF($A192="","",SUMIFS(Base_Lancamentos!$I:$I,Base_Lancamentos!$B:$B,$A192))</x:f>
      </x:c>
      <x:c r="D192" s="34" t="str">
        <x:f>IF($A192="","",B192-C192)</x:f>
      </x:c>
      <x:c r="E192" s="32" t="str">
        <x:f>IF($A192="","",IFERROR(MAXIFS(Base_Lancamentos!$C:$C,Base_Lancamentos!$B:$B,$A192,Base_Lancamentos!$D:$D,"Intervenção"),""))</x:f>
      </x:c>
      <x:c r="F192" s="60" t="str">
        <x:f>IF($A192="","",COUNTIFS(Base_Lancamentos!$B:$B,$A192,Base_Lancamentos!$D:$D,"Intervenção"))</x:f>
      </x:c>
      <x:c r="G192" s="30" t="str">
        <x:f>IF($A192="","",IF($D192&lt;=0,"ESGOTADO",IF($D192&lt;=Config!$H$2,"SALDO CRÍTICO",IF($D192&lt;=Config!$H$3,"SALDO BAIXO","OK"))))</x:f>
      </x:c>
      <x:c r="H192" s="30" t="str">
        <x:f>IF($A192="","",IF($G192="ESGOTADO","Enviar proposta de novo pack",IF($G192="SALDO CRÍTICO","Contactar cliente para renovação",IF($G192="SALDO BAIXO","Acompanhar saldo","Sem ação imediata"))))</x:f>
      </x:c>
    </x:row>
    <x:row r="193">
      <x:c r="A193" s="30" t="str">
        <x:f>IF(Config!A185="","",Config!A185)</x:f>
      </x:c>
      <x:c r="B193" s="34" t="str">
        <x:f>IF($A193="","",SUMIFS(Base_Lancamentos!$H:$H,Base_Lancamentos!$B:$B,$A193))</x:f>
      </x:c>
      <x:c r="C193" s="34" t="str">
        <x:f>IF($A193="","",SUMIFS(Base_Lancamentos!$I:$I,Base_Lancamentos!$B:$B,$A193))</x:f>
      </x:c>
      <x:c r="D193" s="34" t="str">
        <x:f>IF($A193="","",B193-C193)</x:f>
      </x:c>
      <x:c r="E193" s="32" t="str">
        <x:f>IF($A193="","",IFERROR(MAXIFS(Base_Lancamentos!$C:$C,Base_Lancamentos!$B:$B,$A193,Base_Lancamentos!$D:$D,"Intervenção"),""))</x:f>
      </x:c>
      <x:c r="F193" s="60" t="str">
        <x:f>IF($A193="","",COUNTIFS(Base_Lancamentos!$B:$B,$A193,Base_Lancamentos!$D:$D,"Intervenção"))</x:f>
      </x:c>
      <x:c r="G193" s="30" t="str">
        <x:f>IF($A193="","",IF($D193&lt;=0,"ESGOTADO",IF($D193&lt;=Config!$H$2,"SALDO CRÍTICO",IF($D193&lt;=Config!$H$3,"SALDO BAIXO","OK"))))</x:f>
      </x:c>
      <x:c r="H193" s="30" t="str">
        <x:f>IF($A193="","",IF($G193="ESGOTADO","Enviar proposta de novo pack",IF($G193="SALDO CRÍTICO","Contactar cliente para renovação",IF($G193="SALDO BAIXO","Acompanhar saldo","Sem ação imediata"))))</x:f>
      </x:c>
    </x:row>
    <x:row r="194">
      <x:c r="A194" s="30" t="str">
        <x:f>IF(Config!A186="","",Config!A186)</x:f>
      </x:c>
      <x:c r="B194" s="34" t="str">
        <x:f>IF($A194="","",SUMIFS(Base_Lancamentos!$H:$H,Base_Lancamentos!$B:$B,$A194))</x:f>
      </x:c>
      <x:c r="C194" s="34" t="str">
        <x:f>IF($A194="","",SUMIFS(Base_Lancamentos!$I:$I,Base_Lancamentos!$B:$B,$A194))</x:f>
      </x:c>
      <x:c r="D194" s="34" t="str">
        <x:f>IF($A194="","",B194-C194)</x:f>
      </x:c>
      <x:c r="E194" s="32" t="str">
        <x:f>IF($A194="","",IFERROR(MAXIFS(Base_Lancamentos!$C:$C,Base_Lancamentos!$B:$B,$A194,Base_Lancamentos!$D:$D,"Intervenção"),""))</x:f>
      </x:c>
      <x:c r="F194" s="60" t="str">
        <x:f>IF($A194="","",COUNTIFS(Base_Lancamentos!$B:$B,$A194,Base_Lancamentos!$D:$D,"Intervenção"))</x:f>
      </x:c>
      <x:c r="G194" s="30" t="str">
        <x:f>IF($A194="","",IF($D194&lt;=0,"ESGOTADO",IF($D194&lt;=Config!$H$2,"SALDO CRÍTICO",IF($D194&lt;=Config!$H$3,"SALDO BAIXO","OK"))))</x:f>
      </x:c>
      <x:c r="H194" s="30" t="str">
        <x:f>IF($A194="","",IF($G194="ESGOTADO","Enviar proposta de novo pack",IF($G194="SALDO CRÍTICO","Contactar cliente para renovação",IF($G194="SALDO BAIXO","Acompanhar saldo","Sem ação imediata"))))</x:f>
      </x:c>
    </x:row>
    <x:row r="195">
      <x:c r="A195" s="30" t="str">
        <x:f>IF(Config!A187="","",Config!A187)</x:f>
      </x:c>
      <x:c r="B195" s="34" t="str">
        <x:f>IF($A195="","",SUMIFS(Base_Lancamentos!$H:$H,Base_Lancamentos!$B:$B,$A195))</x:f>
      </x:c>
      <x:c r="C195" s="34" t="str">
        <x:f>IF($A195="","",SUMIFS(Base_Lancamentos!$I:$I,Base_Lancamentos!$B:$B,$A195))</x:f>
      </x:c>
      <x:c r="D195" s="34" t="str">
        <x:f>IF($A195="","",B195-C195)</x:f>
      </x:c>
      <x:c r="E195" s="32" t="str">
        <x:f>IF($A195="","",IFERROR(MAXIFS(Base_Lancamentos!$C:$C,Base_Lancamentos!$B:$B,$A195,Base_Lancamentos!$D:$D,"Intervenção"),""))</x:f>
      </x:c>
      <x:c r="F195" s="60" t="str">
        <x:f>IF($A195="","",COUNTIFS(Base_Lancamentos!$B:$B,$A195,Base_Lancamentos!$D:$D,"Intervenção"))</x:f>
      </x:c>
      <x:c r="G195" s="30" t="str">
        <x:f>IF($A195="","",IF($D195&lt;=0,"ESGOTADO",IF($D195&lt;=Config!$H$2,"SALDO CRÍTICO",IF($D195&lt;=Config!$H$3,"SALDO BAIXO","OK"))))</x:f>
      </x:c>
      <x:c r="H195" s="30" t="str">
        <x:f>IF($A195="","",IF($G195="ESGOTADO","Enviar proposta de novo pack",IF($G195="SALDO CRÍTICO","Contactar cliente para renovação",IF($G195="SALDO BAIXO","Acompanhar saldo","Sem ação imediata"))))</x:f>
      </x:c>
    </x:row>
    <x:row r="196">
      <x:c r="A196" s="30" t="str">
        <x:f>IF(Config!A188="","",Config!A188)</x:f>
      </x:c>
      <x:c r="B196" s="34" t="str">
        <x:f>IF($A196="","",SUMIFS(Base_Lancamentos!$H:$H,Base_Lancamentos!$B:$B,$A196))</x:f>
      </x:c>
      <x:c r="C196" s="34" t="str">
        <x:f>IF($A196="","",SUMIFS(Base_Lancamentos!$I:$I,Base_Lancamentos!$B:$B,$A196))</x:f>
      </x:c>
      <x:c r="D196" s="34" t="str">
        <x:f>IF($A196="","",B196-C196)</x:f>
      </x:c>
      <x:c r="E196" s="32" t="str">
        <x:f>IF($A196="","",IFERROR(MAXIFS(Base_Lancamentos!$C:$C,Base_Lancamentos!$B:$B,$A196,Base_Lancamentos!$D:$D,"Intervenção"),""))</x:f>
      </x:c>
      <x:c r="F196" s="60" t="str">
        <x:f>IF($A196="","",COUNTIFS(Base_Lancamentos!$B:$B,$A196,Base_Lancamentos!$D:$D,"Intervenção"))</x:f>
      </x:c>
      <x:c r="G196" s="30" t="str">
        <x:f>IF($A196="","",IF($D196&lt;=0,"ESGOTADO",IF($D196&lt;=Config!$H$2,"SALDO CRÍTICO",IF($D196&lt;=Config!$H$3,"SALDO BAIXO","OK"))))</x:f>
      </x:c>
      <x:c r="H196" s="30" t="str">
        <x:f>IF($A196="","",IF($G196="ESGOTADO","Enviar proposta de novo pack",IF($G196="SALDO CRÍTICO","Contactar cliente para renovação",IF($G196="SALDO BAIXO","Acompanhar saldo","Sem ação imediata"))))</x:f>
      </x:c>
    </x:row>
    <x:row r="197">
      <x:c r="A197" s="30" t="str">
        <x:f>IF(Config!A189="","",Config!A189)</x:f>
      </x:c>
      <x:c r="B197" s="34" t="str">
        <x:f>IF($A197="","",SUMIFS(Base_Lancamentos!$H:$H,Base_Lancamentos!$B:$B,$A197))</x:f>
      </x:c>
      <x:c r="C197" s="34" t="str">
        <x:f>IF($A197="","",SUMIFS(Base_Lancamentos!$I:$I,Base_Lancamentos!$B:$B,$A197))</x:f>
      </x:c>
      <x:c r="D197" s="34" t="str">
        <x:f>IF($A197="","",B197-C197)</x:f>
      </x:c>
      <x:c r="E197" s="32" t="str">
        <x:f>IF($A197="","",IFERROR(MAXIFS(Base_Lancamentos!$C:$C,Base_Lancamentos!$B:$B,$A197,Base_Lancamentos!$D:$D,"Intervenção"),""))</x:f>
      </x:c>
      <x:c r="F197" s="60" t="str">
        <x:f>IF($A197="","",COUNTIFS(Base_Lancamentos!$B:$B,$A197,Base_Lancamentos!$D:$D,"Intervenção"))</x:f>
      </x:c>
      <x:c r="G197" s="30" t="str">
        <x:f>IF($A197="","",IF($D197&lt;=0,"ESGOTADO",IF($D197&lt;=Config!$H$2,"SALDO CRÍTICO",IF($D197&lt;=Config!$H$3,"SALDO BAIXO","OK"))))</x:f>
      </x:c>
      <x:c r="H197" s="30" t="str">
        <x:f>IF($A197="","",IF($G197="ESGOTADO","Enviar proposta de novo pack",IF($G197="SALDO CRÍTICO","Contactar cliente para renovação",IF($G197="SALDO BAIXO","Acompanhar saldo","Sem ação imediata"))))</x:f>
      </x:c>
    </x:row>
    <x:row r="198">
      <x:c r="A198" s="30" t="str">
        <x:f>IF(Config!A190="","",Config!A190)</x:f>
      </x:c>
      <x:c r="B198" s="34" t="str">
        <x:f>IF($A198="","",SUMIFS(Base_Lancamentos!$H:$H,Base_Lancamentos!$B:$B,$A198))</x:f>
      </x:c>
      <x:c r="C198" s="34" t="str">
        <x:f>IF($A198="","",SUMIFS(Base_Lancamentos!$I:$I,Base_Lancamentos!$B:$B,$A198))</x:f>
      </x:c>
      <x:c r="D198" s="34" t="str">
        <x:f>IF($A198="","",B198-C198)</x:f>
      </x:c>
      <x:c r="E198" s="32" t="str">
        <x:f>IF($A198="","",IFERROR(MAXIFS(Base_Lancamentos!$C:$C,Base_Lancamentos!$B:$B,$A198,Base_Lancamentos!$D:$D,"Intervenção"),""))</x:f>
      </x:c>
      <x:c r="F198" s="60" t="str">
        <x:f>IF($A198="","",COUNTIFS(Base_Lancamentos!$B:$B,$A198,Base_Lancamentos!$D:$D,"Intervenção"))</x:f>
      </x:c>
      <x:c r="G198" s="30" t="str">
        <x:f>IF($A198="","",IF($D198&lt;=0,"ESGOTADO",IF($D198&lt;=Config!$H$2,"SALDO CRÍTICO",IF($D198&lt;=Config!$H$3,"SALDO BAIXO","OK"))))</x:f>
      </x:c>
      <x:c r="H198" s="30" t="str">
        <x:f>IF($A198="","",IF($G198="ESGOTADO","Enviar proposta de novo pack",IF($G198="SALDO CRÍTICO","Contactar cliente para renovação",IF($G198="SALDO BAIXO","Acompanhar saldo","Sem ação imediata"))))</x:f>
      </x:c>
    </x:row>
    <x:row r="199">
      <x:c r="A199" s="30" t="str">
        <x:f>IF(Config!A191="","",Config!A191)</x:f>
      </x:c>
      <x:c r="B199" s="34" t="str">
        <x:f>IF($A199="","",SUMIFS(Base_Lancamentos!$H:$H,Base_Lancamentos!$B:$B,$A199))</x:f>
      </x:c>
      <x:c r="C199" s="34" t="str">
        <x:f>IF($A199="","",SUMIFS(Base_Lancamentos!$I:$I,Base_Lancamentos!$B:$B,$A199))</x:f>
      </x:c>
      <x:c r="D199" s="34" t="str">
        <x:f>IF($A199="","",B199-C199)</x:f>
      </x:c>
      <x:c r="E199" s="32" t="str">
        <x:f>IF($A199="","",IFERROR(MAXIFS(Base_Lancamentos!$C:$C,Base_Lancamentos!$B:$B,$A199,Base_Lancamentos!$D:$D,"Intervenção"),""))</x:f>
      </x:c>
      <x:c r="F199" s="60" t="str">
        <x:f>IF($A199="","",COUNTIFS(Base_Lancamentos!$B:$B,$A199,Base_Lancamentos!$D:$D,"Intervenção"))</x:f>
      </x:c>
      <x:c r="G199" s="30" t="str">
        <x:f>IF($A199="","",IF($D199&lt;=0,"ESGOTADO",IF($D199&lt;=Config!$H$2,"SALDO CRÍTICO",IF($D199&lt;=Config!$H$3,"SALDO BAIXO","OK"))))</x:f>
      </x:c>
      <x:c r="H199" s="30" t="str">
        <x:f>IF($A199="","",IF($G199="ESGOTADO","Enviar proposta de novo pack",IF($G199="SALDO CRÍTICO","Contactar cliente para renovação",IF($G199="SALDO BAIXO","Acompanhar saldo","Sem ação imediata"))))</x:f>
      </x:c>
    </x:row>
    <x:row r="200">
      <x:c r="A200" s="30" t="str">
        <x:f>IF(Config!A192="","",Config!A192)</x:f>
      </x:c>
      <x:c r="B200" s="34" t="str">
        <x:f>IF($A200="","",SUMIFS(Base_Lancamentos!$H:$H,Base_Lancamentos!$B:$B,$A200))</x:f>
      </x:c>
      <x:c r="C200" s="34" t="str">
        <x:f>IF($A200="","",SUMIFS(Base_Lancamentos!$I:$I,Base_Lancamentos!$B:$B,$A200))</x:f>
      </x:c>
      <x:c r="D200" s="34" t="str">
        <x:f>IF($A200="","",B200-C200)</x:f>
      </x:c>
      <x:c r="E200" s="32" t="str">
        <x:f>IF($A200="","",IFERROR(MAXIFS(Base_Lancamentos!$C:$C,Base_Lancamentos!$B:$B,$A200,Base_Lancamentos!$D:$D,"Intervenção"),""))</x:f>
      </x:c>
      <x:c r="F200" s="60" t="str">
        <x:f>IF($A200="","",COUNTIFS(Base_Lancamentos!$B:$B,$A200,Base_Lancamentos!$D:$D,"Intervenção"))</x:f>
      </x:c>
      <x:c r="G200" s="30" t="str">
        <x:f>IF($A200="","",IF($D200&lt;=0,"ESGOTADO",IF($D200&lt;=Config!$H$2,"SALDO CRÍTICO",IF($D200&lt;=Config!$H$3,"SALDO BAIXO","OK"))))</x:f>
      </x:c>
      <x:c r="H200" s="30" t="str">
        <x:f>IF($A200="","",IF($G200="ESGOTADO","Enviar proposta de novo pack",IF($G200="SALDO CRÍTICO","Contactar cliente para renovação",IF($G200="SALDO BAIXO","Acompanhar saldo","Sem ação imediata"))))</x:f>
      </x:c>
    </x:row>
    <x:row r="201">
      <x:c r="A201" s="30" t="str">
        <x:f>IF(Config!A193="","",Config!A193)</x:f>
      </x:c>
      <x:c r="B201" s="34" t="str">
        <x:f>IF($A201="","",SUMIFS(Base_Lancamentos!$H:$H,Base_Lancamentos!$B:$B,$A201))</x:f>
      </x:c>
      <x:c r="C201" s="34" t="str">
        <x:f>IF($A201="","",SUMIFS(Base_Lancamentos!$I:$I,Base_Lancamentos!$B:$B,$A201))</x:f>
      </x:c>
      <x:c r="D201" s="34" t="str">
        <x:f>IF($A201="","",B201-C201)</x:f>
      </x:c>
      <x:c r="E201" s="32" t="str">
        <x:f>IF($A201="","",IFERROR(MAXIFS(Base_Lancamentos!$C:$C,Base_Lancamentos!$B:$B,$A201,Base_Lancamentos!$D:$D,"Intervenção"),""))</x:f>
      </x:c>
      <x:c r="F201" s="60" t="str">
        <x:f>IF($A201="","",COUNTIFS(Base_Lancamentos!$B:$B,$A201,Base_Lancamentos!$D:$D,"Intervenção"))</x:f>
      </x:c>
      <x:c r="G201" s="30" t="str">
        <x:f>IF($A201="","",IF($D201&lt;=0,"ESGOTADO",IF($D201&lt;=Config!$H$2,"SALDO CRÍTICO",IF($D201&lt;=Config!$H$3,"SALDO BAIXO","OK"))))</x:f>
      </x:c>
      <x:c r="H201" s="30" t="str">
        <x:f>IF($A201="","",IF($G201="ESGOTADO","Enviar proposta de novo pack",IF($G201="SALDO CRÍTICO","Contactar cliente para renovação",IF($G201="SALDO BAIXO","Acompanhar saldo","Sem ação imediata"))))</x:f>
      </x:c>
    </x:row>
    <x:row r="202">
      <x:c r="A202" s="30" t="str">
        <x:f>IF(Config!A194="","",Config!A194)</x:f>
      </x:c>
      <x:c r="B202" s="34" t="str">
        <x:f>IF($A202="","",SUMIFS(Base_Lancamentos!$H:$H,Base_Lancamentos!$B:$B,$A202))</x:f>
      </x:c>
      <x:c r="C202" s="34" t="str">
        <x:f>IF($A202="","",SUMIFS(Base_Lancamentos!$I:$I,Base_Lancamentos!$B:$B,$A202))</x:f>
      </x:c>
      <x:c r="D202" s="34" t="str">
        <x:f>IF($A202="","",B202-C202)</x:f>
      </x:c>
      <x:c r="E202" s="32" t="str">
        <x:f>IF($A202="","",IFERROR(MAXIFS(Base_Lancamentos!$C:$C,Base_Lancamentos!$B:$B,$A202,Base_Lancamentos!$D:$D,"Intervenção"),""))</x:f>
      </x:c>
      <x:c r="F202" s="60" t="str">
        <x:f>IF($A202="","",COUNTIFS(Base_Lancamentos!$B:$B,$A202,Base_Lancamentos!$D:$D,"Intervenção"))</x:f>
      </x:c>
      <x:c r="G202" s="30" t="str">
        <x:f>IF($A202="","",IF($D202&lt;=0,"ESGOTADO",IF($D202&lt;=Config!$H$2,"SALDO CRÍTICO",IF($D202&lt;=Config!$H$3,"SALDO BAIXO","OK"))))</x:f>
      </x:c>
      <x:c r="H202" s="30" t="str">
        <x:f>IF($A202="","",IF($G202="ESGOTADO","Enviar proposta de novo pack",IF($G202="SALDO CRÍTICO","Contactar cliente para renovação",IF($G202="SALDO BAIXO","Acompanhar saldo","Sem ação imediata"))))</x:f>
      </x:c>
    </x:row>
    <x:row r="203">
      <x:c r="A203" s="30" t="str">
        <x:f>IF(Config!A195="","",Config!A195)</x:f>
      </x:c>
      <x:c r="B203" s="34" t="str">
        <x:f>IF($A203="","",SUMIFS(Base_Lancamentos!$H:$H,Base_Lancamentos!$B:$B,$A203))</x:f>
      </x:c>
      <x:c r="C203" s="34" t="str">
        <x:f>IF($A203="","",SUMIFS(Base_Lancamentos!$I:$I,Base_Lancamentos!$B:$B,$A203))</x:f>
      </x:c>
      <x:c r="D203" s="34" t="str">
        <x:f>IF($A203="","",B203-C203)</x:f>
      </x:c>
      <x:c r="E203" s="32" t="str">
        <x:f>IF($A203="","",IFERROR(MAXIFS(Base_Lancamentos!$C:$C,Base_Lancamentos!$B:$B,$A203,Base_Lancamentos!$D:$D,"Intervenção"),""))</x:f>
      </x:c>
      <x:c r="F203" s="60" t="str">
        <x:f>IF($A203="","",COUNTIFS(Base_Lancamentos!$B:$B,$A203,Base_Lancamentos!$D:$D,"Intervenção"))</x:f>
      </x:c>
      <x:c r="G203" s="30" t="str">
        <x:f>IF($A203="","",IF($D203&lt;=0,"ESGOTADO",IF($D203&lt;=Config!$H$2,"SALDO CRÍTICO",IF($D203&lt;=Config!$H$3,"SALDO BAIXO","OK"))))</x:f>
      </x:c>
      <x:c r="H203" s="30" t="str">
        <x:f>IF($A203="","",IF($G203="ESGOTADO","Enviar proposta de novo pack",IF($G203="SALDO CRÍTICO","Contactar cliente para renovação",IF($G203="SALDO BAIXO","Acompanhar saldo","Sem ação imediata"))))</x:f>
      </x:c>
    </x:row>
    <x:row r="204">
      <x:c r="A204" s="30" t="str">
        <x:f>IF(Config!A196="","",Config!A196)</x:f>
      </x:c>
      <x:c r="B204" s="34" t="str">
        <x:f>IF($A204="","",SUMIFS(Base_Lancamentos!$H:$H,Base_Lancamentos!$B:$B,$A204))</x:f>
      </x:c>
      <x:c r="C204" s="34" t="str">
        <x:f>IF($A204="","",SUMIFS(Base_Lancamentos!$I:$I,Base_Lancamentos!$B:$B,$A204))</x:f>
      </x:c>
      <x:c r="D204" s="34" t="str">
        <x:f>IF($A204="","",B204-C204)</x:f>
      </x:c>
      <x:c r="E204" s="32" t="str">
        <x:f>IF($A204="","",IFERROR(MAXIFS(Base_Lancamentos!$C:$C,Base_Lancamentos!$B:$B,$A204,Base_Lancamentos!$D:$D,"Intervenção"),""))</x:f>
      </x:c>
      <x:c r="F204" s="60" t="str">
        <x:f>IF($A204="","",COUNTIFS(Base_Lancamentos!$B:$B,$A204,Base_Lancamentos!$D:$D,"Intervenção"))</x:f>
      </x:c>
      <x:c r="G204" s="30" t="str">
        <x:f>IF($A204="","",IF($D204&lt;=0,"ESGOTADO",IF($D204&lt;=Config!$H$2,"SALDO CRÍTICO",IF($D204&lt;=Config!$H$3,"SALDO BAIXO","OK"))))</x:f>
      </x:c>
      <x:c r="H204" s="30" t="str">
        <x:f>IF($A204="","",IF($G204="ESGOTADO","Enviar proposta de novo pack",IF($G204="SALDO CRÍTICO","Contactar cliente para renovação",IF($G204="SALDO BAIXO","Acompanhar saldo","Sem ação imediata"))))</x:f>
      </x:c>
    </x:row>
    <x:row r="205">
      <x:c r="A205" s="30" t="str">
        <x:f>IF(Config!A197="","",Config!A197)</x:f>
      </x:c>
      <x:c r="B205" s="34" t="str">
        <x:f>IF($A205="","",SUMIFS(Base_Lancamentos!$H:$H,Base_Lancamentos!$B:$B,$A205))</x:f>
      </x:c>
      <x:c r="C205" s="34" t="str">
        <x:f>IF($A205="","",SUMIFS(Base_Lancamentos!$I:$I,Base_Lancamentos!$B:$B,$A205))</x:f>
      </x:c>
      <x:c r="D205" s="34" t="str">
        <x:f>IF($A205="","",B205-C205)</x:f>
      </x:c>
      <x:c r="E205" s="32" t="str">
        <x:f>IF($A205="","",IFERROR(MAXIFS(Base_Lancamentos!$C:$C,Base_Lancamentos!$B:$B,$A205,Base_Lancamentos!$D:$D,"Intervenção"),""))</x:f>
      </x:c>
      <x:c r="F205" s="60" t="str">
        <x:f>IF($A205="","",COUNTIFS(Base_Lancamentos!$B:$B,$A205,Base_Lancamentos!$D:$D,"Intervenção"))</x:f>
      </x:c>
      <x:c r="G205" s="30" t="str">
        <x:f>IF($A205="","",IF($D205&lt;=0,"ESGOTADO",IF($D205&lt;=Config!$H$2,"SALDO CRÍTICO",IF($D205&lt;=Config!$H$3,"SALDO BAIXO","OK"))))</x:f>
      </x:c>
      <x:c r="H205" s="30" t="str">
        <x:f>IF($A205="","",IF($G205="ESGOTADO","Enviar proposta de novo pack",IF($G205="SALDO CRÍTICO","Contactar cliente para renovação",IF($G205="SALDO BAIXO","Acompanhar saldo","Sem ação imediata"))))</x:f>
      </x:c>
    </x:row>
    <x:row r="206">
      <x:c r="A206" s="30" t="str">
        <x:f>IF(Config!A198="","",Config!A198)</x:f>
      </x:c>
      <x:c r="B206" s="34" t="str">
        <x:f>IF($A206="","",SUMIFS(Base_Lancamentos!$H:$H,Base_Lancamentos!$B:$B,$A206))</x:f>
      </x:c>
      <x:c r="C206" s="34" t="str">
        <x:f>IF($A206="","",SUMIFS(Base_Lancamentos!$I:$I,Base_Lancamentos!$B:$B,$A206))</x:f>
      </x:c>
      <x:c r="D206" s="34" t="str">
        <x:f>IF($A206="","",B206-C206)</x:f>
      </x:c>
      <x:c r="E206" s="32" t="str">
        <x:f>IF($A206="","",IFERROR(MAXIFS(Base_Lancamentos!$C:$C,Base_Lancamentos!$B:$B,$A206,Base_Lancamentos!$D:$D,"Intervenção"),""))</x:f>
      </x:c>
      <x:c r="F206" s="60" t="str">
        <x:f>IF($A206="","",COUNTIFS(Base_Lancamentos!$B:$B,$A206,Base_Lancamentos!$D:$D,"Intervenção"))</x:f>
      </x:c>
      <x:c r="G206" s="30" t="str">
        <x:f>IF($A206="","",IF($D206&lt;=0,"ESGOTADO",IF($D206&lt;=Config!$H$2,"SALDO CRÍTICO",IF($D206&lt;=Config!$H$3,"SALDO BAIXO","OK"))))</x:f>
      </x:c>
      <x:c r="H206" s="30" t="str">
        <x:f>IF($A206="","",IF($G206="ESGOTADO","Enviar proposta de novo pack",IF($G206="SALDO CRÍTICO","Contactar cliente para renovação",IF($G206="SALDO BAIXO","Acompanhar saldo","Sem ação imediata"))))</x:f>
      </x:c>
    </x:row>
    <x:row r="207">
      <x:c r="A207" s="30" t="str">
        <x:f>IF(Config!A199="","",Config!A199)</x:f>
      </x:c>
      <x:c r="B207" s="34" t="str">
        <x:f>IF($A207="","",SUMIFS(Base_Lancamentos!$H:$H,Base_Lancamentos!$B:$B,$A207))</x:f>
      </x:c>
      <x:c r="C207" s="34" t="str">
        <x:f>IF($A207="","",SUMIFS(Base_Lancamentos!$I:$I,Base_Lancamentos!$B:$B,$A207))</x:f>
      </x:c>
      <x:c r="D207" s="34" t="str">
        <x:f>IF($A207="","",B207-C207)</x:f>
      </x:c>
      <x:c r="E207" s="32" t="str">
        <x:f>IF($A207="","",IFERROR(MAXIFS(Base_Lancamentos!$C:$C,Base_Lancamentos!$B:$B,$A207,Base_Lancamentos!$D:$D,"Intervenção"),""))</x:f>
      </x:c>
      <x:c r="F207" s="60" t="str">
        <x:f>IF($A207="","",COUNTIFS(Base_Lancamentos!$B:$B,$A207,Base_Lancamentos!$D:$D,"Intervenção"))</x:f>
      </x:c>
      <x:c r="G207" s="30" t="str">
        <x:f>IF($A207="","",IF($D207&lt;=0,"ESGOTADO",IF($D207&lt;=Config!$H$2,"SALDO CRÍTICO",IF($D207&lt;=Config!$H$3,"SALDO BAIXO","OK"))))</x:f>
      </x:c>
      <x:c r="H207" s="30" t="str">
        <x:f>IF($A207="","",IF($G207="ESGOTADO","Enviar proposta de novo pack",IF($G207="SALDO CRÍTICO","Contactar cliente para renovação",IF($G207="SALDO BAIXO","Acompanhar saldo","Sem ação imediata"))))</x:f>
      </x:c>
    </x:row>
    <x:row r="208">
      <x:c r="A208" s="30" t="str">
        <x:f>IF(Config!A200="","",Config!A200)</x:f>
      </x:c>
      <x:c r="B208" s="34" t="str">
        <x:f>IF($A208="","",SUMIFS(Base_Lancamentos!$H:$H,Base_Lancamentos!$B:$B,$A208))</x:f>
      </x:c>
      <x:c r="C208" s="34" t="str">
        <x:f>IF($A208="","",SUMIFS(Base_Lancamentos!$I:$I,Base_Lancamentos!$B:$B,$A208))</x:f>
      </x:c>
      <x:c r="D208" s="34" t="str">
        <x:f>IF($A208="","",B208-C208)</x:f>
      </x:c>
      <x:c r="E208" s="32" t="str">
        <x:f>IF($A208="","",IFERROR(MAXIFS(Base_Lancamentos!$C:$C,Base_Lancamentos!$B:$B,$A208,Base_Lancamentos!$D:$D,"Intervenção"),""))</x:f>
      </x:c>
      <x:c r="F208" s="60" t="str">
        <x:f>IF($A208="","",COUNTIFS(Base_Lancamentos!$B:$B,$A208,Base_Lancamentos!$D:$D,"Intervenção"))</x:f>
      </x:c>
      <x:c r="G208" s="30" t="str">
        <x:f>IF($A208="","",IF($D208&lt;=0,"ESGOTADO",IF($D208&lt;=Config!$H$2,"SALDO CRÍTICO",IF($D208&lt;=Config!$H$3,"SALDO BAIXO","OK"))))</x:f>
      </x:c>
      <x:c r="H208" s="30" t="str">
        <x:f>IF($A208="","",IF($G208="ESGOTADO","Enviar proposta de novo pack",IF($G208="SALDO CRÍTICO","Contactar cliente para renovação",IF($G208="SALDO BAIXO","Acompanhar saldo","Sem ação imediata"))))</x:f>
      </x:c>
    </x:row>
    <x:row r="209">
      <x:c r="A209" s="30" t="str">
        <x:f>IF(Config!A201="","",Config!A201)</x:f>
      </x:c>
      <x:c r="B209" s="34" t="str">
        <x:f>IF($A209="","",SUMIFS(Base_Lancamentos!$H:$H,Base_Lancamentos!$B:$B,$A209))</x:f>
      </x:c>
      <x:c r="C209" s="34" t="str">
        <x:f>IF($A209="","",SUMIFS(Base_Lancamentos!$I:$I,Base_Lancamentos!$B:$B,$A209))</x:f>
      </x:c>
      <x:c r="D209" s="34" t="str">
        <x:f>IF($A209="","",B209-C209)</x:f>
      </x:c>
      <x:c r="E209" s="32" t="str">
        <x:f>IF($A209="","",IFERROR(MAXIFS(Base_Lancamentos!$C:$C,Base_Lancamentos!$B:$B,$A209,Base_Lancamentos!$D:$D,"Intervenção"),""))</x:f>
      </x:c>
      <x:c r="F209" s="60" t="str">
        <x:f>IF($A209="","",COUNTIFS(Base_Lancamentos!$B:$B,$A209,Base_Lancamentos!$D:$D,"Intervenção"))</x:f>
      </x:c>
      <x:c r="G209" s="30" t="str">
        <x:f>IF($A209="","",IF($D209&lt;=0,"ESGOTADO",IF($D209&lt;=Config!$H$2,"SALDO CRÍTICO",IF($D209&lt;=Config!$H$3,"SALDO BAIXO","OK"))))</x:f>
      </x:c>
      <x:c r="H209" s="30" t="str">
        <x:f>IF($A209="","",IF($G209="ESGOTADO","Enviar proposta de novo pack",IF($G209="SALDO CRÍTICO","Contactar cliente para renovação",IF($G209="SALDO BAIXO","Acompanhar saldo","Sem ação imediata"))))</x:f>
      </x:c>
    </x:row>
  </x:sheetData>
  <x:mergeCells>
    <x:mergeCell ref="A1:H1"/>
    <x:mergeCell ref="A2:H2"/>
  </x:mergeCells>
  <x:conditionalFormatting sqref="G10:G209">
    <x:cfRule type="expression" dxfId="3" priority="1">
      <x:formula>G10="ESGOTADO"</x:formula>
    </x:cfRule>
    <x:cfRule type="expression" dxfId="4" priority="2">
      <x:formula>OR(G10="SALDO CRÍTICO",G10="SALDO BAIXO")</x:formula>
    </x:cfRule>
    <x:cfRule type="expression" dxfId="5" priority="3">
      <x:formula>G10="OK"</x:formula>
    </x:cfRule>
  </x:conditionalFormatting>
  <x:conditionalFormatting sqref="D10:D209">
    <x:cfRule type="dataBar" priority="4">
      <x:dataBar>
        <x:cfvo type="min"/>
        <x:cfvo type="max"/>
        <x:color rgb="12E9CA"/>
      </x:dataBar>
      <x:extLst>
        <x:ext xmlns:x14="http://schemas.microsoft.com/office/spreadsheetml/2009/9/main" uri="{B025F937-C7B1-47D3-B67F-A62EFF666E3E}">
          <x14:id>{169BE573-5479-287D-BE93-74B15E11EBFA}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afbaeae3c18e432b"/>
  <x:tableParts count="1">
    <x:tablePart xmlns:r="http://schemas.openxmlformats.org/officeDocument/2006/relationships" r:id="Rea65e82520064e7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169BE573-5479-287D-BE93-74B15E11EBFA}">
            <x14:dataBar gradient="1">
              <x14:cfvo type="min"/>
              <x14:cfvo type="max"/>
              <x14:fillColor rgb="12E9CA"/>
            </x14:dataBar>
          </x14:cfRule>
          <xm:sqref>D10:D209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12" hidden="0" customWidth="1"/>
    <x:col min="4" max="4" width="14" hidden="0" customWidth="1"/>
    <x:col min="5" max="5" width="18" hidden="0" customWidth="1"/>
    <x:col min="6" max="6" width="18" hidden="0" customWidth="1"/>
    <x:col min="7" max="7" width="42" hidden="0" customWidth="1"/>
    <x:col min="8" max="8" width="14" hidden="0" customWidth="1"/>
    <x:col min="9" max="9" width="14" hidden="0" customWidth="1"/>
    <x:col min="10" max="10" width="14" hidden="0" customWidth="1"/>
    <x:col min="11" max="11" width="16" hidden="0" customWidth="1"/>
    <x:col min="12" max="12" width="18" hidden="0" customWidth="1"/>
    <x:col min="13" max="13" width="18" hidden="0" customWidth="1"/>
  </x:cols>
  <x:sheetData>
    <x:row r="1">
      <x:c r="A1" s="19" t="str">
        <x:v>BASE AUTOMÁTICA DE PACKS DE HORAS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</x:row>
    <x:row r="2">
      <x:c r="A2" s="26" t="str">
        <x:v>Use esta folha para novos lançamentos. Preencha Cliente, Data, Tipo, Descrição e Horas Pack ou Horas Usadas. As colunas ID, Saldo Automático e Estado calculam automaticamente.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</x:row>
    <x:row r="4">
      <x:c r="A4" s="6" t="str">
        <x:v>ID</x:v>
      </x:c>
      <x:c r="B4" s="6" t="str">
        <x:v>Cliente</x:v>
      </x:c>
      <x:c r="C4" s="6" t="str">
        <x:v>Data</x:v>
      </x:c>
      <x:c r="D4" s="6" t="str">
        <x:v>Tipo</x:v>
      </x:c>
      <x:c r="E4" s="6" t="str">
        <x:v>Solicitada por</x:v>
      </x:c>
      <x:c r="F4" s="6" t="str">
        <x:v>Técnico</x:v>
      </x:c>
      <x:c r="G4" s="6" t="str">
        <x:v>Descrição da intervenção</x:v>
      </x:c>
      <x:c r="H4" s="6" t="str">
        <x:v>Horas Pack</x:v>
      </x:c>
      <x:c r="I4" s="6" t="str">
        <x:v>Horas Usadas</x:v>
      </x:c>
      <x:c r="J4" s="6" t="str">
        <x:v>Saldo Automático</x:v>
      </x:c>
      <x:c r="K4" s="6" t="str">
        <x:v>Estado</x:v>
      </x:c>
      <x:c r="L4" s="6" t="str">
        <x:v>Saldo Original</x:v>
      </x:c>
      <x:c r="M4" s="6" t="str">
        <x:v>Origem</x:v>
      </x:c>
    </x:row>
    <x:row r="5">
      <x:c r="A5" s="30" t="n">
        <x:v>1</x:v>
      </x:c>
      <x:c r="B5" s="30" t="str">
        <x:v>ATELIER SANTA CATARINA</x:v>
      </x:c>
      <x:c r="C5" s="32" t="n">
        <x:v>45506</x:v>
      </x:c>
      <x:c r="D5" s="30" t="str">
        <x:v>Compra</x:v>
      </x:c>
      <x:c r="E5" s="30" t="str"/>
      <x:c r="F5" s="30" t="str"/>
      <x:c r="G5" s="30" t="str">
        <x:v>Aquisição Pack 5 Horas</x:v>
      </x:c>
      <x:c r="H5" s="34" t="n">
        <x:v>5</x:v>
      </x:c>
      <x:c r="I5" s="34" t="str"/>
      <x:c r="J5" s="34" t="n">
        <x:f>IF(B5="","",SUMIFS($H$5:$H$500,$B$5:$B$500,B5,$A$5:$A$500,"&lt;="&amp;A5)-SUMIFS($I$5:$I$500,$B$5:$B$500,B5,$A$5:$A$500,"&lt;="&amp;A5))</x:f>
        <x:v>5</x:v>
      </x:c>
      <x:c r="K5" s="30" t="str">
        <x:f>IF(B5="","",IF(J5&lt;=0,"ESGOTADO",IF(J5&lt;=Config!$H$2,"SALDO CRÍTICO",IF(J5&lt;=Config!$H$3,"SALDO BAIXO","OK"))))</x:f>
        <x:v>OK</x:v>
      </x:c>
      <x:c r="L5" s="34" t="n">
        <x:v>5</x:v>
      </x:c>
      <x:c r="M5" s="30" t="str">
        <x:v>Atelier Santa Catarina</x:v>
      </x:c>
    </x:row>
    <x:row r="6">
      <x:c r="A6" s="30" t="n">
        <x:v>2</x:v>
      </x:c>
      <x:c r="B6" s="30" t="str">
        <x:v>ATELIER SANTA CATARINA</x:v>
      </x:c>
      <x:c r="C6" s="32" t="n">
        <x:v>45512</x:v>
      </x:c>
      <x:c r="D6" s="30" t="str">
        <x:v>Intervenção</x:v>
      </x:c>
      <x:c r="E6" s="30" t="str">
        <x:v>Catarina Almada</x:v>
      </x:c>
      <x:c r="F6" s="30" t="str">
        <x:v>ClickStop</x:v>
      </x:c>
      <x:c r="G6" s="30" t="str">
        <x:v>Configurar Cloud</x:v>
      </x:c>
      <x:c r="H6" s="34" t="str"/>
      <x:c r="I6" s="34" t="n">
        <x:v>1</x:v>
      </x:c>
      <x:c r="J6" s="34" t="n">
        <x:f>IF(B6="","",SUMIFS($H$5:$H$500,$B$5:$B$500,B6,$A$5:$A$500,"&lt;="&amp;A6)-SUMIFS($I$5:$I$500,$B$5:$B$500,B6,$A$5:$A$500,"&lt;="&amp;A6))</x:f>
        <x:v>4</x:v>
      </x:c>
      <x:c r="K6" s="30" t="str">
        <x:f>IF(B6="","",IF(J6&lt;=0,"ESGOTADO",IF(J6&lt;=Config!$H$2,"SALDO CRÍTICO",IF(J6&lt;=Config!$H$3,"SALDO BAIXO","OK"))))</x:f>
        <x:v>OK</x:v>
      </x:c>
      <x:c r="L6" s="34" t="n">
        <x:v>4</x:v>
      </x:c>
      <x:c r="M6" s="30" t="str">
        <x:v>Atelier Santa Catarina</x:v>
      </x:c>
    </x:row>
    <x:row r="7">
      <x:c r="A7" s="30" t="n">
        <x:v>3</x:v>
      </x:c>
      <x:c r="B7" s="30" t="str">
        <x:v>ATELIER SANTA CATARINA</x:v>
      </x:c>
      <x:c r="C7" s="32" t="n">
        <x:v>45539</x:v>
      </x:c>
      <x:c r="D7" s="30" t="str">
        <x:v>Intervenção</x:v>
      </x:c>
      <x:c r="E7" s="30" t="str">
        <x:v>Catarina Almada</x:v>
      </x:c>
      <x:c r="F7" s="30" t="str">
        <x:v>ClickStop</x:v>
      </x:c>
      <x:c r="G7" s="30" t="str">
        <x:v>Configurar Cloud PC Catarina + Rita + iMacs</x:v>
      </x:c>
      <x:c r="H7" s="34" t="str"/>
      <x:c r="I7" s="34" t="n">
        <x:v>1</x:v>
      </x:c>
      <x:c r="J7" s="34" t="n">
        <x:f>IF(B7="","",SUMIFS($H$5:$H$500,$B$5:$B$500,B7,$A$5:$A$500,"&lt;="&amp;A7)-SUMIFS($I$5:$I$500,$B$5:$B$500,B7,$A$5:$A$500,"&lt;="&amp;A7))</x:f>
        <x:v>3</x:v>
      </x:c>
      <x:c r="K7" s="30" t="str">
        <x:f>IF(B7="","",IF(J7&lt;=0,"ESGOTADO",IF(J7&lt;=Config!$H$2,"SALDO CRÍTICO",IF(J7&lt;=Config!$H$3,"SALDO BAIXO","OK"))))</x:f>
        <x:v>OK</x:v>
      </x:c>
      <x:c r="L7" s="34" t="n">
        <x:v>3</x:v>
      </x:c>
      <x:c r="M7" s="30" t="str">
        <x:v>Atelier Santa Catarina</x:v>
      </x:c>
    </x:row>
    <x:row r="8">
      <x:c r="A8" s="30" t="n">
        <x:v>4</x:v>
      </x:c>
      <x:c r="B8" s="30" t="str">
        <x:v>ATELIER SANTA CATARINA</x:v>
      </x:c>
      <x:c r="C8" s="32" t="n">
        <x:v>45743</x:v>
      </x:c>
      <x:c r="D8" s="30" t="str">
        <x:v>Intervenção</x:v>
      </x:c>
      <x:c r="E8" s="30" t="str">
        <x:v>Catarina Almada</x:v>
      </x:c>
      <x:c r="F8" s="30" t="str">
        <x:v>ClickStop</x:v>
      </x:c>
      <x:c r="G8" s="30" t="str">
        <x:v>Configurar Adobe Creative Cloud</x:v>
      </x:c>
      <x:c r="H8" s="34" t="str"/>
      <x:c r="I8" s="34" t="n">
        <x:v>0.5</x:v>
      </x:c>
      <x:c r="J8" s="34" t="n">
        <x:f>IF(B8="","",SUMIFS($H$5:$H$500,$B$5:$B$500,B8,$A$5:$A$500,"&lt;="&amp;A8)-SUMIFS($I$5:$I$500,$B$5:$B$500,B8,$A$5:$A$500,"&lt;="&amp;A8))</x:f>
        <x:v>2.5</x:v>
      </x:c>
      <x:c r="K8" s="30" t="str">
        <x:f>IF(B8="","",IF(J8&lt;=0,"ESGOTADO",IF(J8&lt;=Config!$H$2,"SALDO CRÍTICO",IF(J8&lt;=Config!$H$3,"SALDO BAIXO","OK"))))</x:f>
        <x:v>OK</x:v>
      </x:c>
      <x:c r="L8" s="34" t="n">
        <x:v>2.5</x:v>
      </x:c>
      <x:c r="M8" s="30" t="str">
        <x:v>Atelier Santa Catarina</x:v>
      </x:c>
    </x:row>
    <x:row r="9">
      <x:c r="A9" s="30" t="n">
        <x:v>5</x:v>
      </x:c>
      <x:c r="B9" s="30" t="str">
        <x:v>ATELIER SANTA CATARINA</x:v>
      </x:c>
      <x:c r="C9" s="32" t="n">
        <x:v>45775</x:v>
      </x:c>
      <x:c r="D9" s="30" t="str">
        <x:v>Intervenção</x:v>
      </x:c>
      <x:c r="E9" s="30" t="str">
        <x:v>Catarina Almada</x:v>
      </x:c>
      <x:c r="F9" s="30" t="str">
        <x:v>ClickStop</x:v>
      </x:c>
      <x:c r="G9" s="30" t="str">
        <x:v>RIta deixou de conseguir aceder ao Servidor</x:v>
      </x:c>
      <x:c r="H9" s="34" t="str"/>
      <x:c r="I9" s="34" t="n">
        <x:v>0.5</x:v>
      </x:c>
      <x:c r="J9" s="34" t="n">
        <x:f>IF(B9="","",SUMIFS($H$5:$H$500,$B$5:$B$500,B9,$A$5:$A$500,"&lt;="&amp;A9)-SUMIFS($I$5:$I$500,$B$5:$B$500,B9,$A$5:$A$500,"&lt;="&amp;A9))</x:f>
        <x:v>2</x:v>
      </x:c>
      <x:c r="K9" s="30" t="str">
        <x:f>IF(B9="","",IF(J9&lt;=0,"ESGOTADO",IF(J9&lt;=Config!$H$2,"SALDO CRÍTICO",IF(J9&lt;=Config!$H$3,"SALDO BAIXO","OK"))))</x:f>
        <x:v>SALDO BAIXO</x:v>
      </x:c>
      <x:c r="L9" s="34" t="n">
        <x:v>2</x:v>
      </x:c>
      <x:c r="M9" s="30" t="str">
        <x:v>Atelier Santa Catarina</x:v>
      </x:c>
    </x:row>
    <x:row r="10">
      <x:c r="A10" s="30" t="n">
        <x:v>6</x:v>
      </x:c>
      <x:c r="B10" s="30" t="str">
        <x:v>ATELIER SANTA CATARINA</x:v>
      </x:c>
      <x:c r="C10" s="32" t="n">
        <x:v>45790</x:v>
      </x:c>
      <x:c r="D10" s="30" t="str">
        <x:v>Intervenção</x:v>
      </x:c>
      <x:c r="E10" s="30" t="str">
        <x:v>Catarina Almada</x:v>
      </x:c>
      <x:c r="F10" s="30" t="str">
        <x:v>ClickStop</x:v>
      </x:c>
      <x:c r="G10" s="30" t="str">
        <x:v>Ajuda com Rita no Autocad</x:v>
      </x:c>
      <x:c r="H10" s="34" t="str"/>
      <x:c r="I10" s="34" t="n">
        <x:v>0.5</x:v>
      </x:c>
      <x:c r="J10" s="34" t="n">
        <x:f>IF(B10="","",SUMIFS($H$5:$H$500,$B$5:$B$500,B10,$A$5:$A$500,"&lt;="&amp;A10)-SUMIFS($I$5:$I$500,$B$5:$B$500,B10,$A$5:$A$500,"&lt;="&amp;A10))</x:f>
        <x:v>1.5</x:v>
      </x:c>
      <x:c r="K10" s="30" t="str">
        <x:f>IF(B10="","",IF(J10&lt;=0,"ESGOTADO",IF(J10&lt;=Config!$H$2,"SALDO CRÍTICO",IF(J10&lt;=Config!$H$3,"SALDO BAIXO","OK"))))</x:f>
        <x:v>SALDO BAIXO</x:v>
      </x:c>
      <x:c r="L10" s="34" t="n">
        <x:v>1.5</x:v>
      </x:c>
      <x:c r="M10" s="30" t="str">
        <x:v>Atelier Santa Catarina</x:v>
      </x:c>
    </x:row>
    <x:row r="11">
      <x:c r="A11" s="30" t="n">
        <x:v>7</x:v>
      </x:c>
      <x:c r="B11" s="30" t="str">
        <x:v>ATELIER SANTA CATARINA</x:v>
      </x:c>
      <x:c r="C11" s="32" t="n">
        <x:v>45848</x:v>
      </x:c>
      <x:c r="D11" s="30" t="str">
        <x:v>Intervenção</x:v>
      </x:c>
      <x:c r="E11" s="30" t="str">
        <x:v>Catarina Almada</x:v>
      </x:c>
      <x:c r="F11" s="30" t="str">
        <x:v>ClickStop</x:v>
      </x:c>
      <x:c r="G11" s="30" t="str">
        <x:v>Apoio telefonico Catarina/Rita por causa de emails - Pagamento AMEN</x:v>
      </x:c>
      <x:c r="H11" s="34" t="str"/>
      <x:c r="I11" s="34" t="n">
        <x:v>0.5</x:v>
      </x:c>
      <x:c r="J11" s="34" t="n">
        <x:f>IF(B11="","",SUMIFS($H$5:$H$500,$B$5:$B$500,B11,$A$5:$A$500,"&lt;="&amp;A11)-SUMIFS($I$5:$I$500,$B$5:$B$500,B11,$A$5:$A$500,"&lt;="&amp;A11))</x:f>
        <x:v>1</x:v>
      </x:c>
      <x:c r="K11" s="30" t="str">
        <x:f>IF(B11="","",IF(J11&lt;=0,"ESGOTADO",IF(J11&lt;=Config!$H$2,"SALDO CRÍTICO",IF(J11&lt;=Config!$H$3,"SALDO BAIXO","OK"))))</x:f>
        <x:v>SALDO CRÍTICO</x:v>
      </x:c>
      <x:c r="L11" s="34" t="n">
        <x:v>1</x:v>
      </x:c>
      <x:c r="M11" s="30" t="str">
        <x:v>Atelier Santa Catarina</x:v>
      </x:c>
    </x:row>
    <x:row r="12">
      <x:c r="A12" s="30" t="n">
        <x:v>8</x:v>
      </x:c>
      <x:c r="B12" s="30" t="str">
        <x:v>ATELIER SANTA CATARINA</x:v>
      </x:c>
      <x:c r="C12" s="32" t="n">
        <x:v>45929</x:v>
      </x:c>
      <x:c r="D12" s="30" t="str">
        <x:v>Intervenção</x:v>
      </x:c>
      <x:c r="E12" s="30" t="str">
        <x:v>Catarina Almada</x:v>
      </x:c>
      <x:c r="F12" s="30" t="str">
        <x:v>ClickStop</x:v>
      </x:c>
      <x:c r="G12" s="30" t="str">
        <x:v>Apoio Rita Almada configuração do novo portátil</x:v>
      </x:c>
      <x:c r="H12" s="34" t="str"/>
      <x:c r="I12" s="34" t="n">
        <x:v>0.5</x:v>
      </x:c>
      <x:c r="J12" s="34" t="n">
        <x:f>IF(B12="","",SUMIFS($H$5:$H$500,$B$5:$B$500,B12,$A$5:$A$500,"&lt;="&amp;A12)-SUMIFS($I$5:$I$500,$B$5:$B$500,B12,$A$5:$A$500,"&lt;="&amp;A12))</x:f>
        <x:v>0.5</x:v>
      </x:c>
      <x:c r="K12" s="30" t="str">
        <x:f>IF(B12="","",IF(J12&lt;=0,"ESGOTADO",IF(J12&lt;=Config!$H$2,"SALDO CRÍTICO",IF(J12&lt;=Config!$H$3,"SALDO BAIXO","OK"))))</x:f>
        <x:v>SALDO CRÍTICO</x:v>
      </x:c>
      <x:c r="L12" s="34" t="n">
        <x:v>0.5</x:v>
      </x:c>
      <x:c r="M12" s="30" t="str">
        <x:v>Atelier Santa Catarina</x:v>
      </x:c>
    </x:row>
    <x:row r="13">
      <x:c r="A13" s="30" t="n">
        <x:v>9</x:v>
      </x:c>
      <x:c r="B13" s="30" t="str">
        <x:v>ATELIER SANTA CATARINA</x:v>
      </x:c>
      <x:c r="C13" s="32" t="n">
        <x:v>46113</x:v>
      </x:c>
      <x:c r="D13" s="30" t="str">
        <x:v>Intervenção</x:v>
      </x:c>
      <x:c r="E13" s="30" t="str">
        <x:v>Catarina Almada</x:v>
      </x:c>
      <x:c r="F13" s="30" t="str">
        <x:v>ClickStop</x:v>
      </x:c>
      <x:c r="G13" s="30" t="str">
        <x:v>Assistência Remota Catarina</x:v>
      </x:c>
      <x:c r="H13" s="34" t="str"/>
      <x:c r="I13" s="34" t="n">
        <x:v>0.5</x:v>
      </x:c>
      <x:c r="J13" s="34" t="n">
        <x:f>IF(B13="","",SUMIFS($H$5:$H$500,$B$5:$B$500,B13,$A$5:$A$500,"&lt;="&amp;A13)-SUMIFS($I$5:$I$500,$B$5:$B$500,B13,$A$5:$A$500,"&lt;="&amp;A13))</x:f>
        <x:v>0</x:v>
      </x:c>
      <x:c r="K13" s="30" t="str">
        <x:f>IF(B13="","",IF(J13&lt;=0,"ESGOTADO",IF(J13&lt;=Config!$H$2,"SALDO CRÍTICO",IF(J13&lt;=Config!$H$3,"SALDO BAIXO","OK"))))</x:f>
        <x:v>ESGOTADO</x:v>
      </x:c>
      <x:c r="L13" s="34" t="n">
        <x:v>0</x:v>
      </x:c>
      <x:c r="M13" s="30" t="str">
        <x:v>Atelier Santa Catarina</x:v>
      </x:c>
    </x:row>
    <x:row r="14">
      <x:c r="A14" s="30" t="n">
        <x:v>10</x:v>
      </x:c>
      <x:c r="B14" s="30" t="str">
        <x:v>ATELIER SANTA CATARINA</x:v>
      </x:c>
      <x:c r="C14" s="32"/>
      <x:c r="D14" s="30" t="str">
        <x:v>Compra</x:v>
      </x:c>
      <x:c r="E14" s="30" t="str">
        <x:v>45244</x:v>
      </x:c>
      <x:c r="F14" s="30" t="str">
        <x:v>5</x:v>
      </x:c>
      <x:c r="G14" s="30" t="str">
        <x:v>Aquisição Pack 5 Horas</x:v>
      </x:c>
      <x:c r="H14" s="34" t="n">
        <x:v>5</x:v>
      </x:c>
      <x:c r="I14" s="34" t="str"/>
      <x:c r="J14" s="34" t="n">
        <x:f>IF(B14="","",SUMIFS($H$5:$H$500,$B$5:$B$500,B14,$A$5:$A$500,"&lt;="&amp;A14)-SUMIFS($I$5:$I$500,$B$5:$B$500,B14,$A$5:$A$500,"&lt;="&amp;A14))</x:f>
        <x:v>5</x:v>
      </x:c>
      <x:c r="K14" s="30" t="str">
        <x:f>IF(B14="","",IF(J14&lt;=0,"ESGOTADO",IF(J14&lt;=Config!$H$2,"SALDO CRÍTICO",IF(J14&lt;=Config!$H$3,"SALDO BAIXO","OK"))))</x:f>
        <x:v>OK</x:v>
      </x:c>
      <x:c r="L14" s="34" t="str"/>
      <x:c r="M14" s="30" t="str">
        <x:v>Atelier Santa Catarina</x:v>
      </x:c>
    </x:row>
    <x:row r="15">
      <x:c r="A15" s="30" t="n">
        <x:v>11</x:v>
      </x:c>
      <x:c r="B15" s="30" t="str">
        <x:v>ATLANTIPERCENTAGEM</x:v>
      </x:c>
      <x:c r="C15" s="32" t="n">
        <x:v>45621</x:v>
      </x:c>
      <x:c r="D15" s="30" t="str">
        <x:v>Compra</x:v>
      </x:c>
      <x:c r="E15" s="30" t="str"/>
      <x:c r="F15" s="30" t="str"/>
      <x:c r="G15" s="30" t="str">
        <x:v>Aquisição Pack 5 Horas</x:v>
      </x:c>
      <x:c r="H15" s="34" t="n">
        <x:v>5</x:v>
      </x:c>
      <x:c r="I15" s="34" t="str"/>
      <x:c r="J15" s="34" t="n">
        <x:f>IF(B15="","",SUMIFS($H$5:$H$500,$B$5:$B$500,B15,$A$5:$A$500,"&lt;="&amp;A15)-SUMIFS($I$5:$I$500,$B$5:$B$500,B15,$A$5:$A$500,"&lt;="&amp;A15))</x:f>
        <x:v>5</x:v>
      </x:c>
      <x:c r="K15" s="30" t="str">
        <x:f>IF(B15="","",IF(J15&lt;=0,"ESGOTADO",IF(J15&lt;=Config!$H$2,"SALDO CRÍTICO",IF(J15&lt;=Config!$H$3,"SALDO BAIXO","OK"))))</x:f>
        <x:v>OK</x:v>
      </x:c>
      <x:c r="L15" s="34" t="n">
        <x:v>5</x:v>
      </x:c>
      <x:c r="M15" s="30" t="str">
        <x:v>ATLANTIPERCENTAGEM (Bernardo Hi</x:v>
      </x:c>
    </x:row>
    <x:row r="16">
      <x:c r="A16" s="30" t="n">
        <x:v>12</x:v>
      </x:c>
      <x:c r="B16" s="30" t="str">
        <x:v>ATLANTIPERCENTAGEM</x:v>
      </x:c>
      <x:c r="C16" s="32" t="n">
        <x:v>45621</x:v>
      </x:c>
      <x:c r="D16" s="30" t="str">
        <x:v>Intervenção</x:v>
      </x:c>
      <x:c r="E16" s="30" t="str">
        <x:v>Bernardo Hibon</x:v>
      </x:c>
      <x:c r="F16" s="30" t="str">
        <x:v>Ivan Lopes</x:v>
      </x:c>
      <x:c r="G16" s="30" t="str">
        <x:v>Migração de Dominios, Emails, website e alojamento</x:v>
      </x:c>
      <x:c r="H16" s="34" t="str"/>
      <x:c r="I16" s="34" t="n">
        <x:v>4</x:v>
      </x:c>
      <x:c r="J16" s="34" t="n">
        <x:f>IF(B16="","",SUMIFS($H$5:$H$500,$B$5:$B$500,B16,$A$5:$A$500,"&lt;="&amp;A16)-SUMIFS($I$5:$I$500,$B$5:$B$500,B16,$A$5:$A$500,"&lt;="&amp;A16))</x:f>
        <x:v>1</x:v>
      </x:c>
      <x:c r="K16" s="30" t="str">
        <x:f>IF(B16="","",IF(J16&lt;=0,"ESGOTADO",IF(J16&lt;=Config!$H$2,"SALDO CRÍTICO",IF(J16&lt;=Config!$H$3,"SALDO BAIXO","OK"))))</x:f>
        <x:v>SALDO CRÍTICO</x:v>
      </x:c>
      <x:c r="L16" s="34" t="n">
        <x:v>1</x:v>
      </x:c>
      <x:c r="M16" s="30" t="str">
        <x:v>ATLANTIPERCENTAGEM (Bernardo Hi</x:v>
      </x:c>
    </x:row>
    <x:row r="17">
      <x:c r="A17" s="30" t="n">
        <x:v>13</x:v>
      </x:c>
      <x:c r="B17" s="30" t="str">
        <x:v>AZOULAY</x:v>
      </x:c>
      <x:c r="C17" s="32" t="n">
        <x:v>45177</x:v>
      </x:c>
      <x:c r="D17" s="30" t="str">
        <x:v>Compra</x:v>
      </x:c>
      <x:c r="E17" s="30" t="str"/>
      <x:c r="F17" s="30" t="str"/>
      <x:c r="G17" s="30" t="str">
        <x:v>Aquisição/Saldo inicial pack (arquivo)</x:v>
      </x:c>
      <x:c r="H17" s="34" t="n">
        <x:v>5</x:v>
      </x:c>
      <x:c r="I17" s="34" t="str"/>
      <x:c r="J17" s="34" t="n">
        <x:f>IF(B17="","",SUMIFS($H$5:$H$500,$B$5:$B$500,B17,$A$5:$A$500,"&lt;="&amp;A17)-SUMIFS($I$5:$I$500,$B$5:$B$500,B17,$A$5:$A$500,"&lt;="&amp;A17))</x:f>
        <x:v>5</x:v>
      </x:c>
      <x:c r="K17" s="30" t="str">
        <x:f>IF(B17="","",IF(J17&lt;=0,"ESGOTADO",IF(J17&lt;=Config!$H$2,"SALDO CRÍTICO",IF(J17&lt;=Config!$H$3,"SALDO BAIXO","OK"))))</x:f>
        <x:v>OK</x:v>
      </x:c>
      <x:c r="L17" s="34" t="str"/>
      <x:c r="M17" s="30" t="str">
        <x:v>AZOULAY</x:v>
      </x:c>
    </x:row>
    <x:row r="18">
      <x:c r="A18" s="30" t="n">
        <x:v>14</x:v>
      </x:c>
      <x:c r="B18" s="30" t="str">
        <x:v>AZOULAY</x:v>
      </x:c>
      <x:c r="C18" s="32" t="n">
        <x:v>45210</x:v>
      </x:c>
      <x:c r="D18" s="30" t="str">
        <x:v>Intervenção</x:v>
      </x:c>
      <x:c r="E18" s="30" t="str"/>
      <x:c r="F18" s="30" t="str"/>
      <x:c r="G18" s="30" t="str">
        <x:v>config. Router</x:v>
      </x:c>
      <x:c r="H18" s="34" t="str"/>
      <x:c r="I18" s="34" t="n">
        <x:v>2</x:v>
      </x:c>
      <x:c r="J18" s="34" t="n">
        <x:f>IF(B18="","",SUMIFS($H$5:$H$500,$B$5:$B$500,B18,$A$5:$A$500,"&lt;="&amp;A18)-SUMIFS($I$5:$I$500,$B$5:$B$500,B18,$A$5:$A$500,"&lt;="&amp;A18))</x:f>
        <x:v>3</x:v>
      </x:c>
      <x:c r="K18" s="30" t="str">
        <x:f>IF(B18="","",IF(J18&lt;=0,"ESGOTADO",IF(J18&lt;=Config!$H$2,"SALDO CRÍTICO",IF(J18&lt;=Config!$H$3,"SALDO BAIXO","OK"))))</x:f>
        <x:v>OK</x:v>
      </x:c>
      <x:c r="L18" s="34" t="str"/>
      <x:c r="M18" s="30" t="str">
        <x:v>AZOULAY</x:v>
      </x:c>
    </x:row>
    <x:row r="19">
      <x:c r="A19" s="30" t="n">
        <x:v>15</x:v>
      </x:c>
      <x:c r="B19" s="30" t="str">
        <x:v>AZOULAY</x:v>
      </x:c>
      <x:c r="C19" s="32" t="n">
        <x:v>45264</x:v>
      </x:c>
      <x:c r="D19" s="30" t="str">
        <x:v>Intervenção</x:v>
      </x:c>
      <x:c r="E19" s="30" t="str"/>
      <x:c r="F19" s="30" t="str"/>
      <x:c r="G19" s="30" t="str">
        <x:v>passagem iphones, apoio com projetor e adobe</x:v>
      </x:c>
      <x:c r="H19" s="34" t="str"/>
      <x:c r="I19" s="34" t="n">
        <x:v>2</x:v>
      </x:c>
      <x:c r="J19" s="34" t="n">
        <x:f>IF(B19="","",SUMIFS($H$5:$H$500,$B$5:$B$500,B19,$A$5:$A$500,"&lt;="&amp;A19)-SUMIFS($I$5:$I$500,$B$5:$B$500,B19,$A$5:$A$500,"&lt;="&amp;A19))</x:f>
        <x:v>1</x:v>
      </x:c>
      <x:c r="K19" s="30" t="str">
        <x:f>IF(B19="","",IF(J19&lt;=0,"ESGOTADO",IF(J19&lt;=Config!$H$2,"SALDO CRÍTICO",IF(J19&lt;=Config!$H$3,"SALDO BAIXO","OK"))))</x:f>
        <x:v>SALDO CRÍTICO</x:v>
      </x:c>
      <x:c r="L19" s="34" t="str"/>
      <x:c r="M19" s="30" t="str">
        <x:v>AZOULAY</x:v>
      </x:c>
    </x:row>
    <x:row r="20">
      <x:c r="A20" s="30" t="n">
        <x:v>16</x:v>
      </x:c>
      <x:c r="B20" s="30" t="str">
        <x:v>AZOULAY</x:v>
      </x:c>
      <x:c r="C20" s="32" t="n">
        <x:v>45338</x:v>
      </x:c>
      <x:c r="D20" s="30" t="str">
        <x:v>Intervenção</x:v>
      </x:c>
      <x:c r="E20" s="30" t="str"/>
      <x:c r="F20" s="30" t="str"/>
      <x:c r="G20" s="30" t="str">
        <x:v>AR Stephanie</x:v>
      </x:c>
      <x:c r="H20" s="34" t="str"/>
      <x:c r="I20" s="34" t="n">
        <x:v>0.5</x:v>
      </x:c>
      <x:c r="J20" s="34" t="n">
        <x:f>IF(B20="","",SUMIFS($H$5:$H$500,$B$5:$B$500,B20,$A$5:$A$500,"&lt;="&amp;A20)-SUMIFS($I$5:$I$500,$B$5:$B$500,B20,$A$5:$A$500,"&lt;="&amp;A20))</x:f>
        <x:v>0.5</x:v>
      </x:c>
      <x:c r="K20" s="30" t="str">
        <x:f>IF(B20="","",IF(J20&lt;=0,"ESGOTADO",IF(J20&lt;=Config!$H$2,"SALDO CRÍTICO",IF(J20&lt;=Config!$H$3,"SALDO BAIXO","OK"))))</x:f>
        <x:v>SALDO CRÍTICO</x:v>
      </x:c>
      <x:c r="L20" s="34" t="str"/>
      <x:c r="M20" s="30" t="str">
        <x:v>AZOULAY</x:v>
      </x:c>
    </x:row>
    <x:row r="21">
      <x:c r="A21" s="30" t="n">
        <x:v>17</x:v>
      </x:c>
      <x:c r="B21" s="30" t="str">
        <x:v>AZOULAY</x:v>
      </x:c>
      <x:c r="C21" s="32" t="n">
        <x:v>45474</x:v>
      </x:c>
      <x:c r="D21" s="30" t="str">
        <x:v>Intervenção</x:v>
      </x:c>
      <x:c r="E21" s="30" t="str"/>
      <x:c r="F21" s="30" t="str"/>
      <x:c r="G21" s="30" t="str">
        <x:v>Configuração de DNS (OpenDNS)</x:v>
      </x:c>
      <x:c r="H21" s="34" t="str"/>
      <x:c r="I21" s="34" t="n">
        <x:v>0.5</x:v>
      </x:c>
      <x:c r="J21" s="34" t="n">
        <x:f>IF(B21="","",SUMIFS($H$5:$H$500,$B$5:$B$500,B21,$A$5:$A$500,"&lt;="&amp;A21)-SUMIFS($I$5:$I$500,$B$5:$B$500,B21,$A$5:$A$500,"&lt;="&amp;A21))</x:f>
        <x:v>0</x:v>
      </x:c>
      <x:c r="K21" s="30" t="str">
        <x:f>IF(B21="","",IF(J21&lt;=0,"ESGOTADO",IF(J21&lt;=Config!$H$2,"SALDO CRÍTICO",IF(J21&lt;=Config!$H$3,"SALDO BAIXO","OK"))))</x:f>
        <x:v>ESGOTADO</x:v>
      </x:c>
      <x:c r="L21" s="34" t="str"/>
      <x:c r="M21" s="30" t="str">
        <x:v>AZOULAY</x:v>
      </x:c>
    </x:row>
    <x:row r="22">
      <x:c r="A22" s="30" t="n">
        <x:v>18</x:v>
      </x:c>
      <x:c r="B22" s="30" t="str">
        <x:v>AZOULAY</x:v>
      </x:c>
      <x:c r="C22" s="32" t="n">
        <x:v>45539</x:v>
      </x:c>
      <x:c r="D22" s="30" t="str">
        <x:v>Compra</x:v>
      </x:c>
      <x:c r="E22" s="30" t="str"/>
      <x:c r="F22" s="30" t="str"/>
      <x:c r="G22" s="30" t="str">
        <x:v>Aquisição/Saldo inicial pack (arquivo)</x:v>
      </x:c>
      <x:c r="H22" s="34" t="n">
        <x:v>5</x:v>
      </x:c>
      <x:c r="I22" s="34" t="str"/>
      <x:c r="J22" s="34" t="n">
        <x:f>IF(B22="","",SUMIFS($H$5:$H$500,$B$5:$B$500,B22,$A$5:$A$500,"&lt;="&amp;A22)-SUMIFS($I$5:$I$500,$B$5:$B$500,B22,$A$5:$A$500,"&lt;="&amp;A22))</x:f>
        <x:v>5</x:v>
      </x:c>
      <x:c r="K22" s="30" t="str">
        <x:f>IF(B22="","",IF(J22&lt;=0,"ESGOTADO",IF(J22&lt;=Config!$H$2,"SALDO CRÍTICO",IF(J22&lt;=Config!$H$3,"SALDO BAIXO","OK"))))</x:f>
        <x:v>OK</x:v>
      </x:c>
      <x:c r="L22" s="34" t="str"/>
      <x:c r="M22" s="30" t="str">
        <x:v>AZOULAY</x:v>
      </x:c>
    </x:row>
    <x:row r="23">
      <x:c r="A23" s="30" t="n">
        <x:v>19</x:v>
      </x:c>
      <x:c r="B23" s="30" t="str">
        <x:v>AZOULAY</x:v>
      </x:c>
      <x:c r="C23" s="32" t="n">
        <x:v>45681</x:v>
      </x:c>
      <x:c r="D23" s="30" t="str">
        <x:v>Intervenção</x:v>
      </x:c>
      <x:c r="E23" s="30" t="str"/>
      <x:c r="F23" s="30" t="str"/>
      <x:c r="G23" s="30" t="str">
        <x:v>iMac Stephanie + Portatil Zoe</x:v>
      </x:c>
      <x:c r="H23" s="34" t="str"/>
      <x:c r="I23" s="34" t="n">
        <x:v>2</x:v>
      </x:c>
      <x:c r="J23" s="34" t="n">
        <x:f>IF(B23="","",SUMIFS($H$5:$H$500,$B$5:$B$500,B23,$A$5:$A$500,"&lt;="&amp;A23)-SUMIFS($I$5:$I$500,$B$5:$B$500,B23,$A$5:$A$500,"&lt;="&amp;A23))</x:f>
        <x:v>3</x:v>
      </x:c>
      <x:c r="K23" s="30" t="str">
        <x:f>IF(B23="","",IF(J23&lt;=0,"ESGOTADO",IF(J23&lt;=Config!$H$2,"SALDO CRÍTICO",IF(J23&lt;=Config!$H$3,"SALDO BAIXO","OK"))))</x:f>
        <x:v>OK</x:v>
      </x:c>
      <x:c r="L23" s="34" t="str"/>
      <x:c r="M23" s="30" t="str">
        <x:v>AZOULAY</x:v>
      </x:c>
    </x:row>
    <x:row r="24">
      <x:c r="A24" s="30" t="n">
        <x:v>20</x:v>
      </x:c>
      <x:c r="B24" s="30" t="str">
        <x:v>AZOULAY</x:v>
      </x:c>
      <x:c r="C24" s="32" t="n">
        <x:v>45723</x:v>
      </x:c>
      <x:c r="D24" s="30" t="str">
        <x:v>Intervenção</x:v>
      </x:c>
      <x:c r="E24" s="30" t="str"/>
      <x:c r="F24" s="30" t="str"/>
      <x:c r="G24" s="30" t="str">
        <x:v>AR Zoe, videos nao importam para o mac</x:v>
      </x:c>
      <x:c r="H24" s="34" t="str"/>
      <x:c r="I24" s="34" t="n">
        <x:v>0.25</x:v>
      </x:c>
      <x:c r="J24" s="34" t="n">
        <x:f>IF(B24="","",SUMIFS($H$5:$H$500,$B$5:$B$500,B24,$A$5:$A$500,"&lt;="&amp;A24)-SUMIFS($I$5:$I$500,$B$5:$B$500,B24,$A$5:$A$500,"&lt;="&amp;A24))</x:f>
        <x:v>2.75</x:v>
      </x:c>
      <x:c r="K24" s="30" t="str">
        <x:f>IF(B24="","",IF(J24&lt;=0,"ESGOTADO",IF(J24&lt;=Config!$H$2,"SALDO CRÍTICO",IF(J24&lt;=Config!$H$3,"SALDO BAIXO","OK"))))</x:f>
        <x:v>OK</x:v>
      </x:c>
      <x:c r="L24" s="34" t="str"/>
      <x:c r="M24" s="30" t="str">
        <x:v>AZOULAY</x:v>
      </x:c>
    </x:row>
    <x:row r="25">
      <x:c r="A25" s="30" t="n">
        <x:v>21</x:v>
      </x:c>
      <x:c r="B25" s="30" t="str">
        <x:v>AZOULAY</x:v>
      </x:c>
      <x:c r="C25" s="32" t="n">
        <x:v>45735</x:v>
      </x:c>
      <x:c r="D25" s="30" t="str">
        <x:v>Intervenção</x:v>
      </x:c>
      <x:c r="E25" s="30" t="str"/>
      <x:c r="F25" s="30" t="str"/>
      <x:c r="G25" s="30" t="str">
        <x:v>Visita a casa</x:v>
      </x:c>
      <x:c r="H25" s="34" t="str"/>
      <x:c r="I25" s="34" t="n">
        <x:v>0.5</x:v>
      </x:c>
      <x:c r="J25" s="34" t="n">
        <x:f>IF(B25="","",SUMIFS($H$5:$H$500,$B$5:$B$500,B25,$A$5:$A$500,"&lt;="&amp;A25)-SUMIFS($I$5:$I$500,$B$5:$B$500,B25,$A$5:$A$500,"&lt;="&amp;A25))</x:f>
        <x:v>2.25</x:v>
      </x:c>
      <x:c r="K25" s="30" t="str">
        <x:f>IF(B25="","",IF(J25&lt;=0,"ESGOTADO",IF(J25&lt;=Config!$H$2,"SALDO CRÍTICO",IF(J25&lt;=Config!$H$3,"SALDO BAIXO","OK"))))</x:f>
        <x:v>OK</x:v>
      </x:c>
      <x:c r="L25" s="34" t="str"/>
      <x:c r="M25" s="30" t="str">
        <x:v>AZOULAY</x:v>
      </x:c>
    </x:row>
    <x:row r="26">
      <x:c r="A26" s="30" t="n">
        <x:v>22</x:v>
      </x:c>
      <x:c r="B26" s="30" t="str">
        <x:v>AZOULAY</x:v>
      </x:c>
      <x:c r="C26" s="32" t="n">
        <x:v>45749</x:v>
      </x:c>
      <x:c r="D26" s="30" t="str">
        <x:v>Intervenção</x:v>
      </x:c>
      <x:c r="E26" s="30" t="str"/>
      <x:c r="F26" s="30" t="str"/>
      <x:c r="G26" s="30" t="str">
        <x:v>Visita a casa MC Ajudou Filha + Reset baetria camara</x:v>
      </x:c>
      <x:c r="H26" s="34" t="str"/>
      <x:c r="I26" s="34" t="n">
        <x:v>1</x:v>
      </x:c>
      <x:c r="J26" s="34" t="n">
        <x:f>IF(B26="","",SUMIFS($H$5:$H$500,$B$5:$B$500,B26,$A$5:$A$500,"&lt;="&amp;A26)-SUMIFS($I$5:$I$500,$B$5:$B$500,B26,$A$5:$A$500,"&lt;="&amp;A26))</x:f>
        <x:v>1.25</x:v>
      </x:c>
      <x:c r="K26" s="30" t="str">
        <x:f>IF(B26="","",IF(J26&lt;=0,"ESGOTADO",IF(J26&lt;=Config!$H$2,"SALDO CRÍTICO",IF(J26&lt;=Config!$H$3,"SALDO BAIXO","OK"))))</x:f>
        <x:v>SALDO BAIXO</x:v>
      </x:c>
      <x:c r="L26" s="34" t="str"/>
      <x:c r="M26" s="30" t="str">
        <x:v>AZOULAY</x:v>
      </x:c>
    </x:row>
    <x:row r="27">
      <x:c r="A27" s="30" t="n">
        <x:v>23</x:v>
      </x:c>
      <x:c r="B27" s="30" t="str">
        <x:v>AZOULAY</x:v>
      </x:c>
      <x:c r="C27" s="32" t="n">
        <x:v>45755</x:v>
      </x:c>
      <x:c r="D27" s="30" t="str">
        <x:v>Intervenção</x:v>
      </x:c>
      <x:c r="E27" s="30" t="str"/>
      <x:c r="F27" s="30" t="str"/>
      <x:c r="G27" s="30" t="str">
        <x:v>MC foi a casa ver impressora + entrega GOPRO</x:v>
      </x:c>
      <x:c r="H27" s="34" t="str"/>
      <x:c r="I27" s="34" t="n">
        <x:v>0.5</x:v>
      </x:c>
      <x:c r="J27" s="34" t="n">
        <x:f>IF(B27="","",SUMIFS($H$5:$H$500,$B$5:$B$500,B27,$A$5:$A$500,"&lt;="&amp;A27)-SUMIFS($I$5:$I$500,$B$5:$B$500,B27,$A$5:$A$500,"&lt;="&amp;A27))</x:f>
        <x:v>0.75</x:v>
      </x:c>
      <x:c r="K27" s="30" t="str">
        <x:f>IF(B27="","",IF(J27&lt;=0,"ESGOTADO",IF(J27&lt;=Config!$H$2,"SALDO CRÍTICO",IF(J27&lt;=Config!$H$3,"SALDO BAIXO","OK"))))</x:f>
        <x:v>SALDO CRÍTICO</x:v>
      </x:c>
      <x:c r="L27" s="34" t="str"/>
      <x:c r="M27" s="30" t="str">
        <x:v>AZOULAY</x:v>
      </x:c>
    </x:row>
    <x:row r="28">
      <x:c r="A28" s="30" t="n">
        <x:v>24</x:v>
      </x:c>
      <x:c r="B28" s="30" t="str">
        <x:v>AZOULAY</x:v>
      </x:c>
      <x:c r="C28" s="32" t="n">
        <x:v>45895</x:v>
      </x:c>
      <x:c r="D28" s="30" t="str">
        <x:v>Compra</x:v>
      </x:c>
      <x:c r="E28" s="30" t="str"/>
      <x:c r="F28" s="30" t="str"/>
      <x:c r="G28" s="30" t="str">
        <x:v>Aquisição/Saldo inicial pack (arquivo)</x:v>
      </x:c>
      <x:c r="H28" s="34" t="n">
        <x:v>3</x:v>
      </x:c>
      <x:c r="I28" s="34" t="str"/>
      <x:c r="J28" s="34" t="n">
        <x:f>IF(B28="","",SUMIFS($H$5:$H$500,$B$5:$B$500,B28,$A$5:$A$500,"&lt;="&amp;A28)-SUMIFS($I$5:$I$500,$B$5:$B$500,B28,$A$5:$A$500,"&lt;="&amp;A28))</x:f>
        <x:v>3.75</x:v>
      </x:c>
      <x:c r="K28" s="30" t="str">
        <x:f>IF(B28="","",IF(J28&lt;=0,"ESGOTADO",IF(J28&lt;=Config!$H$2,"SALDO CRÍTICO",IF(J28&lt;=Config!$H$3,"SALDO BAIXO","OK"))))</x:f>
        <x:v>OK</x:v>
      </x:c>
      <x:c r="L28" s="34" t="str"/>
      <x:c r="M28" s="30" t="str">
        <x:v>AZOULAY</x:v>
      </x:c>
    </x:row>
    <x:row r="29">
      <x:c r="A29" s="30" t="n">
        <x:v>25</x:v>
      </x:c>
      <x:c r="B29" s="30" t="str">
        <x:v>CAIXINORMA</x:v>
      </x:c>
      <x:c r="C29" s="32" t="n">
        <x:v>45181</x:v>
      </x:c>
      <x:c r="D29" s="30" t="str">
        <x:v>Compra</x:v>
      </x:c>
      <x:c r="E29" s="30" t="str"/>
      <x:c r="F29" s="30" t="str"/>
      <x:c r="G29" s="30" t="str">
        <x:v>Aquisição Pack 10 Horas</x:v>
      </x:c>
      <x:c r="H29" s="34" t="n">
        <x:v>10</x:v>
      </x:c>
      <x:c r="I29" s="34" t="str"/>
      <x:c r="J29" s="34" t="n">
        <x:f>IF(B29="","",SUMIFS($H$5:$H$500,$B$5:$B$500,B29,$A$5:$A$500,"&lt;="&amp;A29)-SUMIFS($I$5:$I$500,$B$5:$B$500,B29,$A$5:$A$500,"&lt;="&amp;A29))</x:f>
        <x:v>10</x:v>
      </x:c>
      <x:c r="K29" s="30" t="str">
        <x:f>IF(B29="","",IF(J29&lt;=0,"ESGOTADO",IF(J29&lt;=Config!$H$2,"SALDO CRÍTICO",IF(J29&lt;=Config!$H$3,"SALDO BAIXO","OK"))))</x:f>
        <x:v>OK</x:v>
      </x:c>
      <x:c r="L29" s="34" t="n">
        <x:v>10</x:v>
      </x:c>
      <x:c r="M29" s="30" t="str">
        <x:v>CAIXINORMA</x:v>
      </x:c>
    </x:row>
    <x:row r="30">
      <x:c r="A30" s="30" t="n">
        <x:v>26</x:v>
      </x:c>
      <x:c r="B30" s="30" t="str">
        <x:v>CAIXINORMA</x:v>
      </x:c>
      <x:c r="C30" s="32" t="n">
        <x:v>45250</x:v>
      </x:c>
      <x:c r="D30" s="30" t="str">
        <x:v>Intervenção</x:v>
      </x:c>
      <x:c r="E30" s="30" t="str">
        <x:v>Mónica</x:v>
      </x:c>
      <x:c r="F30" s="30" t="str">
        <x:v>ClickStop</x:v>
      </x:c>
      <x:c r="G30" s="30" t="str">
        <x:v>Assistência Informática</x:v>
      </x:c>
      <x:c r="H30" s="34" t="str"/>
      <x:c r="I30" s="34" t="n">
        <x:v>1.5</x:v>
      </x:c>
      <x:c r="J30" s="34" t="n">
        <x:f>IF(B30="","",SUMIFS($H$5:$H$500,$B$5:$B$500,B30,$A$5:$A$500,"&lt;="&amp;A30)-SUMIFS($I$5:$I$500,$B$5:$B$500,B30,$A$5:$A$500,"&lt;="&amp;A30))</x:f>
        <x:v>8.5</x:v>
      </x:c>
      <x:c r="K30" s="30" t="str">
        <x:f>IF(B30="","",IF(J30&lt;=0,"ESGOTADO",IF(J30&lt;=Config!$H$2,"SALDO CRÍTICO",IF(J30&lt;=Config!$H$3,"SALDO BAIXO","OK"))))</x:f>
        <x:v>OK</x:v>
      </x:c>
      <x:c r="L30" s="34" t="n">
        <x:v>8.5</x:v>
      </x:c>
      <x:c r="M30" s="30" t="str">
        <x:v>CAIXINORMA</x:v>
      </x:c>
    </x:row>
    <x:row r="31">
      <x:c r="A31" s="30" t="n">
        <x:v>27</x:v>
      </x:c>
      <x:c r="B31" s="30" t="str">
        <x:v>CAIXINORMA</x:v>
      </x:c>
      <x:c r="C31" s="32" t="n">
        <x:v>45324</x:v>
      </x:c>
      <x:c r="D31" s="30" t="str">
        <x:v>Intervenção</x:v>
      </x:c>
      <x:c r="E31" s="30" t="str">
        <x:v>Mónica</x:v>
      </x:c>
      <x:c r="F31" s="30" t="str">
        <x:v>ClickStop</x:v>
      </x:c>
      <x:c r="G31" s="30" t="str">
        <x:v>Revisão do computador portátil ASUS</x:v>
      </x:c>
      <x:c r="H31" s="34" t="str"/>
      <x:c r="I31" s="34" t="n">
        <x:v>1.5</x:v>
      </x:c>
      <x:c r="J31" s="34" t="n">
        <x:f>IF(B31="","",SUMIFS($H$5:$H$500,$B$5:$B$500,B31,$A$5:$A$500,"&lt;="&amp;A31)-SUMIFS($I$5:$I$500,$B$5:$B$500,B31,$A$5:$A$500,"&lt;="&amp;A31))</x:f>
        <x:v>7</x:v>
      </x:c>
      <x:c r="K31" s="30" t="str">
        <x:f>IF(B31="","",IF(J31&lt;=0,"ESGOTADO",IF(J31&lt;=Config!$H$2,"SALDO CRÍTICO",IF(J31&lt;=Config!$H$3,"SALDO BAIXO","OK"))))</x:f>
        <x:v>OK</x:v>
      </x:c>
      <x:c r="L31" s="34" t="n">
        <x:v>7</x:v>
      </x:c>
      <x:c r="M31" s="30" t="str">
        <x:v>CAIXINORMA</x:v>
      </x:c>
    </x:row>
    <x:row r="32">
      <x:c r="A32" s="30" t="n">
        <x:v>28</x:v>
      </x:c>
      <x:c r="B32" s="30" t="str">
        <x:v>CAIXINORMA</x:v>
      </x:c>
      <x:c r="C32" s="32" t="n">
        <x:v>45569</x:v>
      </x:c>
      <x:c r="D32" s="30" t="str">
        <x:v>Intervenção</x:v>
      </x:c>
      <x:c r="E32" s="30" t="str">
        <x:v>Mónica</x:v>
      </x:c>
      <x:c r="F32" s="30" t="str">
        <x:v>ClickStop</x:v>
      </x:c>
      <x:c r="G32" s="30" t="str">
        <x:v>Backup dados - Apple</x:v>
      </x:c>
      <x:c r="H32" s="34" t="str"/>
      <x:c r="I32" s="34" t="n">
        <x:v>0.5</x:v>
      </x:c>
      <x:c r="J32" s="34" t="n">
        <x:f>IF(B32="","",SUMIFS($H$5:$H$500,$B$5:$B$500,B32,$A$5:$A$500,"&lt;="&amp;A32)-SUMIFS($I$5:$I$500,$B$5:$B$500,B32,$A$5:$A$500,"&lt;="&amp;A32))</x:f>
        <x:v>6.5</x:v>
      </x:c>
      <x:c r="K32" s="30" t="str">
        <x:f>IF(B32="","",IF(J32&lt;=0,"ESGOTADO",IF(J32&lt;=Config!$H$2,"SALDO CRÍTICO",IF(J32&lt;=Config!$H$3,"SALDO BAIXO","OK"))))</x:f>
        <x:v>OK</x:v>
      </x:c>
      <x:c r="L32" s="34" t="n">
        <x:v>6.5</x:v>
      </x:c>
      <x:c r="M32" s="30" t="str">
        <x:v>CAIXINORMA</x:v>
      </x:c>
    </x:row>
    <x:row r="33">
      <x:c r="A33" s="30" t="n">
        <x:v>29</x:v>
      </x:c>
      <x:c r="B33" s="30" t="str">
        <x:v>CASCAIS ATRIUM</x:v>
      </x:c>
      <x:c r="C33" s="32" t="n">
        <x:v>46029</x:v>
      </x:c>
      <x:c r="D33" s="30" t="str">
        <x:v>Compra</x:v>
      </x:c>
      <x:c r="E33" s="30" t="str"/>
      <x:c r="F33" s="30" t="str"/>
      <x:c r="G33" s="30" t="str">
        <x:v>Aquisição Pack 5 Horas</x:v>
      </x:c>
      <x:c r="H33" s="34" t="n">
        <x:v>5</x:v>
      </x:c>
      <x:c r="I33" s="34" t="str"/>
      <x:c r="J33" s="34" t="n">
        <x:f>IF(B33="","",SUMIFS($H$5:$H$500,$B$5:$B$500,B33,$A$5:$A$500,"&lt;="&amp;A33)-SUMIFS($I$5:$I$500,$B$5:$B$500,B33,$A$5:$A$500,"&lt;="&amp;A33))</x:f>
        <x:v>5</x:v>
      </x:c>
      <x:c r="K33" s="30" t="str">
        <x:f>IF(B33="","",IF(J33&lt;=0,"ESGOTADO",IF(J33&lt;=Config!$H$2,"SALDO CRÍTICO",IF(J33&lt;=Config!$H$3,"SALDO BAIXO","OK"))))</x:f>
        <x:v>OK</x:v>
      </x:c>
      <x:c r="L33" s="34" t="n">
        <x:v>5</x:v>
      </x:c>
      <x:c r="M33" s="30" t="str">
        <x:v>(Catarina Boiadas) Cascais Atri</x:v>
      </x:c>
    </x:row>
    <x:row r="34">
      <x:c r="A34" s="30" t="n">
        <x:v>30</x:v>
      </x:c>
      <x:c r="B34" s="30" t="str">
        <x:v>CASCAIS ATRIUM</x:v>
      </x:c>
      <x:c r="C34" s="32" t="n">
        <x:v>46029</x:v>
      </x:c>
      <x:c r="D34" s="30" t="str">
        <x:v>Intervenção</x:v>
      </x:c>
      <x:c r="E34" s="30" t="str">
        <x:v>Catarina Boiadas</x:v>
      </x:c>
      <x:c r="F34" s="30" t="str">
        <x:v>ClickStop</x:v>
      </x:c>
      <x:c r="G34" s="30" t="str">
        <x:v>Update de BIOS e ativação driver gráfica</x:v>
      </x:c>
      <x:c r="H34" s="34" t="str"/>
      <x:c r="I34" s="34" t="n">
        <x:v>0.5</x:v>
      </x:c>
      <x:c r="J34" s="34" t="n">
        <x:f>IF(B34="","",SUMIFS($H$5:$H$500,$B$5:$B$500,B34,$A$5:$A$500,"&lt;="&amp;A34)-SUMIFS($I$5:$I$500,$B$5:$B$500,B34,$A$5:$A$500,"&lt;="&amp;A34))</x:f>
        <x:v>4.5</x:v>
      </x:c>
      <x:c r="K34" s="30" t="str">
        <x:f>IF(B34="","",IF(J34&lt;=0,"ESGOTADO",IF(J34&lt;=Config!$H$2,"SALDO CRÍTICO",IF(J34&lt;=Config!$H$3,"SALDO BAIXO","OK"))))</x:f>
        <x:v>OK</x:v>
      </x:c>
      <x:c r="L34" s="34" t="n">
        <x:v>4.5</x:v>
      </x:c>
      <x:c r="M34" s="30" t="str">
        <x:v>(Catarina Boiadas) Cascais Atri</x:v>
      </x:c>
    </x:row>
    <x:row r="35">
      <x:c r="A35" s="30" t="n">
        <x:v>31</x:v>
      </x:c>
      <x:c r="B35" s="30" t="str">
        <x:v>CLAMROC</x:v>
      </x:c>
      <x:c r="C35" s="32" t="n">
        <x:v>46002</x:v>
      </x:c>
      <x:c r="D35" s="30" t="str">
        <x:v>Compra</x:v>
      </x:c>
      <x:c r="E35" s="30" t="str"/>
      <x:c r="F35" s="30" t="str"/>
      <x:c r="G35" s="30" t="str">
        <x:v>Aquisição Pack 20 Horas</x:v>
      </x:c>
      <x:c r="H35" s="34" t="n">
        <x:v>20</x:v>
      </x:c>
      <x:c r="I35" s="34" t="str"/>
      <x:c r="J35" s="34" t="n">
        <x:f>IF(B35="","",SUMIFS($H$5:$H$500,$B$5:$B$500,B35,$A$5:$A$500,"&lt;="&amp;A35)-SUMIFS($I$5:$I$500,$B$5:$B$500,B35,$A$5:$A$500,"&lt;="&amp;A35))</x:f>
        <x:v>20</x:v>
      </x:c>
      <x:c r="K35" s="30" t="str">
        <x:f>IF(B35="","",IF(J35&lt;=0,"ESGOTADO",IF(J35&lt;=Config!$H$2,"SALDO CRÍTICO",IF(J35&lt;=Config!$H$3,"SALDO BAIXO","OK"))))</x:f>
        <x:v>OK</x:v>
      </x:c>
      <x:c r="L35" s="34" t="n">
        <x:v>20</x:v>
      </x:c>
      <x:c r="M35" s="30" t="str">
        <x:v>CLAMROC (Elvire)</x:v>
      </x:c>
    </x:row>
    <x:row r="36">
      <x:c r="A36" s="30" t="n">
        <x:v>32</x:v>
      </x:c>
      <x:c r="B36" s="30" t="str">
        <x:v>CLAMROC</x:v>
      </x:c>
      <x:c r="C36" s="32" t="n">
        <x:v>46007</x:v>
      </x:c>
      <x:c r="D36" s="30" t="str">
        <x:v>Intervenção</x:v>
      </x:c>
      <x:c r="E36" s="30" t="str">
        <x:v>Elvire</x:v>
      </x:c>
      <x:c r="F36" s="30" t="str">
        <x:v>Ivan Lopes</x:v>
      </x:c>
      <x:c r="G36" s="30" t="str">
        <x:v>Ajuda com Email Elvire</x:v>
      </x:c>
      <x:c r="H36" s="34" t="str"/>
      <x:c r="I36" s="34" t="n">
        <x:v>1</x:v>
      </x:c>
      <x:c r="J36" s="34" t="n">
        <x:f>IF(B36="","",SUMIFS($H$5:$H$500,$B$5:$B$500,B36,$A$5:$A$500,"&lt;="&amp;A36)-SUMIFS($I$5:$I$500,$B$5:$B$500,B36,$A$5:$A$500,"&lt;="&amp;A36))</x:f>
        <x:v>19</x:v>
      </x:c>
      <x:c r="K36" s="30" t="str">
        <x:f>IF(B36="","",IF(J36&lt;=0,"ESGOTADO",IF(J36&lt;=Config!$H$2,"SALDO CRÍTICO",IF(J36&lt;=Config!$H$3,"SALDO BAIXO","OK"))))</x:f>
        <x:v>OK</x:v>
      </x:c>
      <x:c r="L36" s="34" t="n">
        <x:v>19</x:v>
      </x:c>
      <x:c r="M36" s="30" t="str">
        <x:v>CLAMROC (Elvire)</x:v>
      </x:c>
    </x:row>
    <x:row r="37">
      <x:c r="A37" s="30" t="n">
        <x:v>33</x:v>
      </x:c>
      <x:c r="B37" s="30" t="str">
        <x:v>CLAMROC</x:v>
      </x:c>
      <x:c r="C37" s="32" t="n">
        <x:v>46010</x:v>
      </x:c>
      <x:c r="D37" s="30" t="str">
        <x:v>Intervenção</x:v>
      </x:c>
      <x:c r="E37" s="30" t="str">
        <x:v>Elvire</x:v>
      </x:c>
      <x:c r="F37" s="30" t="str">
        <x:v>Ivan Lopes</x:v>
      </x:c>
      <x:c r="G37" s="30" t="str">
        <x:v>AR Outlook com passagem para Apple Mail</x:v>
      </x:c>
      <x:c r="H37" s="34" t="str"/>
      <x:c r="I37" s="34" t="n">
        <x:v>0.5</x:v>
      </x:c>
      <x:c r="J37" s="34" t="n">
        <x:f>IF(B37="","",SUMIFS($H$5:$H$500,$B$5:$B$500,B37,$A$5:$A$500,"&lt;="&amp;A37)-SUMIFS($I$5:$I$500,$B$5:$B$500,B37,$A$5:$A$500,"&lt;="&amp;A37))</x:f>
        <x:v>18.5</x:v>
      </x:c>
      <x:c r="K37" s="30" t="str">
        <x:f>IF(B37="","",IF(J37&lt;=0,"ESGOTADO",IF(J37&lt;=Config!$H$2,"SALDO CRÍTICO",IF(J37&lt;=Config!$H$3,"SALDO BAIXO","OK"))))</x:f>
        <x:v>OK</x:v>
      </x:c>
      <x:c r="L37" s="34" t="n">
        <x:v>18.5</x:v>
      </x:c>
      <x:c r="M37" s="30" t="str">
        <x:v>CLAMROC (Elvire)</x:v>
      </x:c>
    </x:row>
    <x:row r="38">
      <x:c r="A38" s="30" t="n">
        <x:v>34</x:v>
      </x:c>
      <x:c r="B38" s="30" t="str">
        <x:v>CLAMROC</x:v>
      </x:c>
      <x:c r="C38" s="32" t="n">
        <x:v>46048</x:v>
      </x:c>
      <x:c r="D38" s="30" t="str">
        <x:v>Intervenção</x:v>
      </x:c>
      <x:c r="E38" s="30" t="str">
        <x:v>Elvire</x:v>
      </x:c>
      <x:c r="F38" s="30" t="str">
        <x:v>Ivan Lopes</x:v>
      </x:c>
      <x:c r="G38" s="30" t="str">
        <x:v>Transferencia de Dominio Clamroc.pt</x:v>
      </x:c>
      <x:c r="H38" s="34" t="str"/>
      <x:c r="I38" s="34" t="n">
        <x:v>1</x:v>
      </x:c>
      <x:c r="J38" s="34" t="n">
        <x:f>IF(B38="","",SUMIFS($H$5:$H$500,$B$5:$B$500,B38,$A$5:$A$500,"&lt;="&amp;A38)-SUMIFS($I$5:$I$500,$B$5:$B$500,B38,$A$5:$A$500,"&lt;="&amp;A38))</x:f>
        <x:v>17.5</x:v>
      </x:c>
      <x:c r="K38" s="30" t="str">
        <x:f>IF(B38="","",IF(J38&lt;=0,"ESGOTADO",IF(J38&lt;=Config!$H$2,"SALDO CRÍTICO",IF(J38&lt;=Config!$H$3,"SALDO BAIXO","OK"))))</x:f>
        <x:v>OK</x:v>
      </x:c>
      <x:c r="L38" s="34" t="n">
        <x:v>17.5</x:v>
      </x:c>
      <x:c r="M38" s="30" t="str">
        <x:v>CLAMROC (Elvire)</x:v>
      </x:c>
    </x:row>
    <x:row r="39">
      <x:c r="A39" s="30" t="n">
        <x:v>35</x:v>
      </x:c>
      <x:c r="B39" s="30" t="str">
        <x:v>CLAMROC</x:v>
      </x:c>
      <x:c r="C39" s="32" t="n">
        <x:v>46064</x:v>
      </x:c>
      <x:c r="D39" s="30" t="str">
        <x:v>Intervenção</x:v>
      </x:c>
      <x:c r="E39" s="30" t="str">
        <x:v>Elvire</x:v>
      </x:c>
      <x:c r="F39" s="30" t="str">
        <x:v>Ivan Lopes</x:v>
      </x:c>
      <x:c r="G39" s="30" t="str">
        <x:v>Substituição de Firewall</x:v>
      </x:c>
      <x:c r="H39" s="34" t="str"/>
      <x:c r="I39" s="34" t="n">
        <x:v>3</x:v>
      </x:c>
      <x:c r="J39" s="34" t="n">
        <x:f>IF(B39="","",SUMIFS($H$5:$H$500,$B$5:$B$500,B39,$A$5:$A$500,"&lt;="&amp;A39)-SUMIFS($I$5:$I$500,$B$5:$B$500,B39,$A$5:$A$500,"&lt;="&amp;A39))</x:f>
        <x:v>14.5</x:v>
      </x:c>
      <x:c r="K39" s="30" t="str">
        <x:f>IF(B39="","",IF(J39&lt;=0,"ESGOTADO",IF(J39&lt;=Config!$H$2,"SALDO CRÍTICO",IF(J39&lt;=Config!$H$3,"SALDO BAIXO","OK"))))</x:f>
        <x:v>OK</x:v>
      </x:c>
      <x:c r="L39" s="34" t="n">
        <x:v>14.5</x:v>
      </x:c>
      <x:c r="M39" s="30" t="str">
        <x:v>CLAMROC (Elvire)</x:v>
      </x:c>
    </x:row>
    <x:row r="40">
      <x:c r="A40" s="30" t="n">
        <x:v>36</x:v>
      </x:c>
      <x:c r="B40" s="30" t="str">
        <x:v>CLAMROC</x:v>
      </x:c>
      <x:c r="C40" s="32" t="n">
        <x:v>46077</x:v>
      </x:c>
      <x:c r="D40" s="30" t="str">
        <x:v>Intervenção</x:v>
      </x:c>
      <x:c r="E40" s="30" t="str">
        <x:v>Elvire</x:v>
      </x:c>
      <x:c r="F40" s="30" t="str">
        <x:v>Ivan Lopes</x:v>
      </x:c>
      <x:c r="G40" s="30" t="str">
        <x:v>Reset APs e Instalação CloudKey</x:v>
      </x:c>
      <x:c r="H40" s="34" t="str"/>
      <x:c r="I40" s="34" t="n">
        <x:v>2</x:v>
      </x:c>
      <x:c r="J40" s="34" t="n">
        <x:f>IF(B40="","",SUMIFS($H$5:$H$500,$B$5:$B$500,B40,$A$5:$A$500,"&lt;="&amp;A40)-SUMIFS($I$5:$I$500,$B$5:$B$500,B40,$A$5:$A$500,"&lt;="&amp;A40))</x:f>
        <x:v>12.5</x:v>
      </x:c>
      <x:c r="K40" s="30" t="str">
        <x:f>IF(B40="","",IF(J40&lt;=0,"ESGOTADO",IF(J40&lt;=Config!$H$2,"SALDO CRÍTICO",IF(J40&lt;=Config!$H$3,"SALDO BAIXO","OK"))))</x:f>
        <x:v>OK</x:v>
      </x:c>
      <x:c r="L40" s="34" t="n">
        <x:v>12.5</x:v>
      </x:c>
      <x:c r="M40" s="30" t="str">
        <x:v>CLAMROC (Elvire)</x:v>
      </x:c>
    </x:row>
    <x:row r="41">
      <x:c r="A41" s="30" t="n">
        <x:v>37</x:v>
      </x:c>
      <x:c r="B41" s="30" t="str">
        <x:v>CLAMROC</x:v>
      </x:c>
      <x:c r="C41" s="32" t="n">
        <x:v>46084</x:v>
      </x:c>
      <x:c r="D41" s="30" t="str">
        <x:v>Intervenção</x:v>
      </x:c>
      <x:c r="E41" s="30" t="str">
        <x:v>Elvire</x:v>
      </x:c>
      <x:c r="F41" s="30" t="str">
        <x:v>Ivan Lopes</x:v>
      </x:c>
      <x:c r="G41" s="30" t="str">
        <x:v>Reset APs em Falta</x:v>
      </x:c>
      <x:c r="H41" s="34" t="str"/>
      <x:c r="I41" s="34" t="n">
        <x:v>2</x:v>
      </x:c>
      <x:c r="J41" s="34" t="n">
        <x:f>IF(B41="","",SUMIFS($H$5:$H$500,$B$5:$B$500,B41,$A$5:$A$500,"&lt;="&amp;A41)-SUMIFS($I$5:$I$500,$B$5:$B$500,B41,$A$5:$A$500,"&lt;="&amp;A41))</x:f>
        <x:v>10.5</x:v>
      </x:c>
      <x:c r="K41" s="30" t="str">
        <x:f>IF(B41="","",IF(J41&lt;=0,"ESGOTADO",IF(J41&lt;=Config!$H$2,"SALDO CRÍTICO",IF(J41&lt;=Config!$H$3,"SALDO BAIXO","OK"))))</x:f>
        <x:v>OK</x:v>
      </x:c>
      <x:c r="L41" s="34" t="n">
        <x:v>10.5</x:v>
      </x:c>
      <x:c r="M41" s="30" t="str">
        <x:v>CLAMROC (Elvire)</x:v>
      </x:c>
    </x:row>
    <x:row r="42">
      <x:c r="A42" s="30" t="n">
        <x:v>38</x:v>
      </x:c>
      <x:c r="B42" s="30" t="str">
        <x:v>CLAMROC</x:v>
      </x:c>
      <x:c r="C42" s="32" t="n">
        <x:v>46090</x:v>
      </x:c>
      <x:c r="D42" s="30" t="str">
        <x:v>Intervenção</x:v>
      </x:c>
      <x:c r="E42" s="30" t="str">
        <x:v>Elvire</x:v>
      </x:c>
      <x:c r="F42" s="30" t="str">
        <x:v>Ivan Lopes</x:v>
      </x:c>
      <x:c r="G42" s="30" t="str">
        <x:v>Verificação do Cabo no escritorio Christophe + Vodafone TV</x:v>
      </x:c>
      <x:c r="H42" s="34" t="str"/>
      <x:c r="I42" s="34" t="n">
        <x:v>3</x:v>
      </x:c>
      <x:c r="J42" s="34" t="n">
        <x:f>IF(B42="","",SUMIFS($H$5:$H$500,$B$5:$B$500,B42,$A$5:$A$500,"&lt;="&amp;A42)-SUMIFS($I$5:$I$500,$B$5:$B$500,B42,$A$5:$A$500,"&lt;="&amp;A42))</x:f>
        <x:v>7.5</x:v>
      </x:c>
      <x:c r="K42" s="30" t="str">
        <x:f>IF(B42="","",IF(J42&lt;=0,"ESGOTADO",IF(J42&lt;=Config!$H$2,"SALDO CRÍTICO",IF(J42&lt;=Config!$H$3,"SALDO BAIXO","OK"))))</x:f>
        <x:v>OK</x:v>
      </x:c>
      <x:c r="L42" s="34" t="n">
        <x:v>7.5</x:v>
      </x:c>
      <x:c r="M42" s="30" t="str">
        <x:v>CLAMROC (Elvire)</x:v>
      </x:c>
    </x:row>
    <x:row r="43">
      <x:c r="A43" s="30" t="n">
        <x:v>39</x:v>
      </x:c>
      <x:c r="B43" s="30" t="str">
        <x:v>CLAMROC</x:v>
      </x:c>
      <x:c r="C43" s="32" t="n">
        <x:v>46114</x:v>
      </x:c>
      <x:c r="D43" s="30" t="str">
        <x:v>Intervenção</x:v>
      </x:c>
      <x:c r="E43" s="30" t="str">
        <x:v>Elvire</x:v>
      </x:c>
      <x:c r="F43" s="30" t="str">
        <x:v>Ivan Lopes</x:v>
      </x:c>
      <x:c r="G43" s="30" t="str">
        <x:v>Resolucão BOX VODAFONE</x:v>
      </x:c>
      <x:c r="H43" s="34" t="str"/>
      <x:c r="I43" s="34" t="n">
        <x:v>1</x:v>
      </x:c>
      <x:c r="J43" s="34" t="n">
        <x:f>IF(B43="","",SUMIFS($H$5:$H$500,$B$5:$B$500,B43,$A$5:$A$500,"&lt;="&amp;A43)-SUMIFS($I$5:$I$500,$B$5:$B$500,B43,$A$5:$A$500,"&lt;="&amp;A43))</x:f>
        <x:v>6.5</x:v>
      </x:c>
      <x:c r="K43" s="30" t="str">
        <x:f>IF(B43="","",IF(J43&lt;=0,"ESGOTADO",IF(J43&lt;=Config!$H$2,"SALDO CRÍTICO",IF(J43&lt;=Config!$H$3,"SALDO BAIXO","OK"))))</x:f>
        <x:v>OK</x:v>
      </x:c>
      <x:c r="L43" s="34" t="n">
        <x:v>6.5</x:v>
      </x:c>
      <x:c r="M43" s="30" t="str">
        <x:v>CLAMROC (Elvire)</x:v>
      </x:c>
    </x:row>
    <x:row r="44">
      <x:c r="A44" s="30" t="n">
        <x:v>40</x:v>
      </x:c>
      <x:c r="B44" s="30" t="str">
        <x:v>Clinica Prestigio</x:v>
      </x:c>
      <x:c r="C44" s="32" t="n">
        <x:v>45280</x:v>
      </x:c>
      <x:c r="D44" s="30" t="str">
        <x:v>Compra</x:v>
      </x:c>
      <x:c r="E44" s="30" t="str"/>
      <x:c r="F44" s="30" t="str"/>
      <x:c r="G44" s="30" t="str">
        <x:v>Aquisição/Saldo inicial pack (arquivo)</x:v>
      </x:c>
      <x:c r="H44" s="34" t="n">
        <x:v>5</x:v>
      </x:c>
      <x:c r="I44" s="34" t="str"/>
      <x:c r="J44" s="34" t="n">
        <x:f>IF(B44="","",SUMIFS($H$5:$H$500,$B$5:$B$500,B44,$A$5:$A$500,"&lt;="&amp;A44)-SUMIFS($I$5:$I$500,$B$5:$B$500,B44,$A$5:$A$500,"&lt;="&amp;A44))</x:f>
        <x:v>5</x:v>
      </x:c>
      <x:c r="K44" s="30" t="str">
        <x:f>IF(B44="","",IF(J44&lt;=0,"ESGOTADO",IF(J44&lt;=Config!$H$2,"SALDO CRÍTICO",IF(J44&lt;=Config!$H$3,"SALDO BAIXO","OK"))))</x:f>
        <x:v>OK</x:v>
      </x:c>
      <x:c r="L44" s="34" t="str"/>
      <x:c r="M44" s="30" t="str">
        <x:v>Clinica Prestigio</x:v>
      </x:c>
    </x:row>
    <x:row r="45">
      <x:c r="A45" s="30" t="n">
        <x:v>41</x:v>
      </x:c>
      <x:c r="B45" s="30" t="str">
        <x:v>Clinica Prestigio</x:v>
      </x:c>
      <x:c r="C45" s="32" t="n">
        <x:v>45280</x:v>
      </x:c>
      <x:c r="D45" s="30" t="str">
        <x:v>Intervenção</x:v>
      </x:c>
      <x:c r="E45" s="30" t="str"/>
      <x:c r="F45" s="30" t="str"/>
      <x:c r="G45" s="30" t="str">
        <x:v>20/12/2023 Config. Dominio + Contas 365</x:v>
      </x:c>
      <x:c r="H45" s="34" t="str"/>
      <x:c r="I45" s="34" t="n">
        <x:v>2</x:v>
      </x:c>
      <x:c r="J45" s="34" t="n">
        <x:f>IF(B45="","",SUMIFS($H$5:$H$500,$B$5:$B$500,B45,$A$5:$A$500,"&lt;="&amp;A45)-SUMIFS($I$5:$I$500,$B$5:$B$500,B45,$A$5:$A$500,"&lt;="&amp;A45))</x:f>
        <x:v>3</x:v>
      </x:c>
      <x:c r="K45" s="30" t="str">
        <x:f>IF(B45="","",IF(J45&lt;=0,"ESGOTADO",IF(J45&lt;=Config!$H$2,"SALDO CRÍTICO",IF(J45&lt;=Config!$H$3,"SALDO BAIXO","OK"))))</x:f>
        <x:v>OK</x:v>
      </x:c>
      <x:c r="L45" s="34" t="str"/>
      <x:c r="M45" s="30" t="str">
        <x:v>Clinica Prestigio</x:v>
      </x:c>
    </x:row>
    <x:row r="46">
      <x:c r="A46" s="30" t="n">
        <x:v>42</x:v>
      </x:c>
      <x:c r="B46" s="30" t="str">
        <x:v>Clinica Prestigio</x:v>
      </x:c>
      <x:c r="C46" s="32" t="n">
        <x:v>45296</x:v>
      </x:c>
      <x:c r="D46" s="30" t="str">
        <x:v>Intervenção</x:v>
      </x:c>
      <x:c r="E46" s="30" t="str"/>
      <x:c r="F46" s="30" t="str"/>
      <x:c r="G46" s="30" t="str">
        <x:v>Assistencia Remota Contas Email Triple + Otilia</x:v>
      </x:c>
      <x:c r="H46" s="34" t="str"/>
      <x:c r="I46" s="34" t="n">
        <x:v>1</x:v>
      </x:c>
      <x:c r="J46" s="34" t="n">
        <x:f>IF(B46="","",SUMIFS($H$5:$H$500,$B$5:$B$500,B46,$A$5:$A$500,"&lt;="&amp;A46)-SUMIFS($I$5:$I$500,$B$5:$B$500,B46,$A$5:$A$500,"&lt;="&amp;A46))</x:f>
        <x:v>2</x:v>
      </x:c>
      <x:c r="K46" s="30" t="str">
        <x:f>IF(B46="","",IF(J46&lt;=0,"ESGOTADO",IF(J46&lt;=Config!$H$2,"SALDO CRÍTICO",IF(J46&lt;=Config!$H$3,"SALDO BAIXO","OK"))))</x:f>
        <x:v>SALDO BAIXO</x:v>
      </x:c>
      <x:c r="L46" s="34" t="str"/>
      <x:c r="M46" s="30" t="str">
        <x:v>Clinica Prestigio</x:v>
      </x:c>
    </x:row>
    <x:row r="47">
      <x:c r="A47" s="30" t="n">
        <x:v>43</x:v>
      </x:c>
      <x:c r="B47" s="30" t="str">
        <x:v>Clinica Prestigio</x:v>
      </x:c>
      <x:c r="C47" s="32" t="n">
        <x:v>45327</x:v>
      </x:c>
      <x:c r="D47" s="30" t="str">
        <x:v>Intervenção</x:v>
      </x:c>
      <x:c r="E47" s="30" t="str"/>
      <x:c r="F47" s="30" t="str"/>
      <x:c r="G47" s="30" t="str">
        <x:v>Criação Contas Mariana &amp; Bruno + Partilhas Onedrive</x:v>
      </x:c>
      <x:c r="H47" s="34" t="str"/>
      <x:c r="I47" s="34" t="n">
        <x:v>1</x:v>
      </x:c>
      <x:c r="J47" s="34" t="n">
        <x:f>IF(B47="","",SUMIFS($H$5:$H$500,$B$5:$B$500,B47,$A$5:$A$500,"&lt;="&amp;A47)-SUMIFS($I$5:$I$500,$B$5:$B$500,B47,$A$5:$A$500,"&lt;="&amp;A47))</x:f>
        <x:v>1</x:v>
      </x:c>
      <x:c r="K47" s="30" t="str">
        <x:f>IF(B47="","",IF(J47&lt;=0,"ESGOTADO",IF(J47&lt;=Config!$H$2,"SALDO CRÍTICO",IF(J47&lt;=Config!$H$3,"SALDO BAIXO","OK"))))</x:f>
        <x:v>SALDO CRÍTICO</x:v>
      </x:c>
      <x:c r="L47" s="34" t="str"/>
      <x:c r="M47" s="30" t="str">
        <x:v>Clinica Prestigio</x:v>
      </x:c>
    </x:row>
    <x:row r="48">
      <x:c r="A48" s="30" t="n">
        <x:v>44</x:v>
      </x:c>
      <x:c r="B48" s="30" t="str">
        <x:v>Clinica Prestigio</x:v>
      </x:c>
      <x:c r="C48" s="32" t="n">
        <x:v>45358</x:v>
      </x:c>
      <x:c r="D48" s="30" t="str">
        <x:v>Intervenção</x:v>
      </x:c>
      <x:c r="E48" s="30" t="str"/>
      <x:c r="F48" s="30" t="str"/>
      <x:c r="G48" s="30" t="str">
        <x:v>Assistencia Remota Mariana</x:v>
      </x:c>
      <x:c r="H48" s="34" t="str"/>
      <x:c r="I48" s="34" t="n">
        <x:v>0.25</x:v>
      </x:c>
      <x:c r="J48" s="34" t="n">
        <x:f>IF(B48="","",SUMIFS($H$5:$H$500,$B$5:$B$500,B48,$A$5:$A$500,"&lt;="&amp;A48)-SUMIFS($I$5:$I$500,$B$5:$B$500,B48,$A$5:$A$500,"&lt;="&amp;A48))</x:f>
        <x:v>0.75</x:v>
      </x:c>
      <x:c r="K48" s="30" t="str">
        <x:f>IF(B48="","",IF(J48&lt;=0,"ESGOTADO",IF(J48&lt;=Config!$H$2,"SALDO CRÍTICO",IF(J48&lt;=Config!$H$3,"SALDO BAIXO","OK"))))</x:f>
        <x:v>SALDO CRÍTICO</x:v>
      </x:c>
      <x:c r="L48" s="34" t="str"/>
      <x:c r="M48" s="30" t="str">
        <x:v>Clinica Prestigio</x:v>
      </x:c>
    </x:row>
    <x:row r="49">
      <x:c r="A49" s="30" t="n">
        <x:v>45</x:v>
      </x:c>
      <x:c r="B49" s="30" t="str">
        <x:v>Clinica Prestigio</x:v>
      </x:c>
      <x:c r="C49" s="32" t="n">
        <x:v>45387</x:v>
      </x:c>
      <x:c r="D49" s="30" t="str">
        <x:v>Intervenção</x:v>
      </x:c>
      <x:c r="E49" s="30" t="str"/>
      <x:c r="F49" s="30" t="str"/>
      <x:c r="G49" s="30" t="str">
        <x:v>Configuração de dominio para website e ajudaa rita bacalhau com Email de site (geral) - MC</x:v>
      </x:c>
      <x:c r="H49" s="34" t="str"/>
      <x:c r="I49" s="34" t="n">
        <x:v>0.25</x:v>
      </x:c>
      <x:c r="J49" s="34" t="n">
        <x:f>IF(B49="","",SUMIFS($H$5:$H$500,$B$5:$B$500,B49,$A$5:$A$500,"&lt;="&amp;A49)-SUMIFS($I$5:$I$500,$B$5:$B$500,B49,$A$5:$A$500,"&lt;="&amp;A49))</x:f>
        <x:v>0.5</x:v>
      </x:c>
      <x:c r="K49" s="30" t="str">
        <x:f>IF(B49="","",IF(J49&lt;=0,"ESGOTADO",IF(J49&lt;=Config!$H$2,"SALDO CRÍTICO",IF(J49&lt;=Config!$H$3,"SALDO BAIXO","OK"))))</x:f>
        <x:v>SALDO CRÍTICO</x:v>
      </x:c>
      <x:c r="L49" s="34" t="str"/>
      <x:c r="M49" s="30" t="str">
        <x:v>Clinica Prestigio</x:v>
      </x:c>
    </x:row>
    <x:row r="50">
      <x:c r="A50" s="30" t="n">
        <x:v>46</x:v>
      </x:c>
      <x:c r="B50" s="30" t="str">
        <x:v>CLÍNICA REBALANCE (NAIDE)</x:v>
      </x:c>
      <x:c r="C50" s="32" t="n">
        <x:v>45019</x:v>
      </x:c>
      <x:c r="D50" s="30" t="str">
        <x:v>Compra</x:v>
      </x:c>
      <x:c r="E50" s="30" t="str"/>
      <x:c r="F50" s="30" t="str"/>
      <x:c r="G50" s="30" t="str">
        <x:v>Aquisição/Saldo inicial pack (arquivo)</x:v>
      </x:c>
      <x:c r="H50" s="34" t="n">
        <x:v>5</x:v>
      </x:c>
      <x:c r="I50" s="34" t="str"/>
      <x:c r="J50" s="34" t="n">
        <x:f>IF(B50="","",SUMIFS($H$5:$H$500,$B$5:$B$500,B50,$A$5:$A$500,"&lt;="&amp;A50)-SUMIFS($I$5:$I$500,$B$5:$B$500,B50,$A$5:$A$500,"&lt;="&amp;A50))</x:f>
        <x:v>5</x:v>
      </x:c>
      <x:c r="K50" s="30" t="str">
        <x:f>IF(B50="","",IF(J50&lt;=0,"ESGOTADO",IF(J50&lt;=Config!$H$2,"SALDO CRÍTICO",IF(J50&lt;=Config!$H$3,"SALDO BAIXO","OK"))))</x:f>
        <x:v>OK</x:v>
      </x:c>
      <x:c r="L50" s="34" t="str"/>
      <x:c r="M50" s="30" t="str">
        <x:v>CLÍNICA REBALANCE (NAIDE)</x:v>
      </x:c>
    </x:row>
    <x:row r="51">
      <x:c r="A51" s="30" t="n">
        <x:v>47</x:v>
      </x:c>
      <x:c r="B51" s="30" t="str">
        <x:v>CLÍNICA REBALANCE (NAIDE)</x:v>
      </x:c>
      <x:c r="C51" s="32" t="n">
        <x:v>45019</x:v>
      </x:c>
      <x:c r="D51" s="30" t="str">
        <x:v>Intervenção</x:v>
      </x:c>
      <x:c r="E51" s="30" t="str"/>
      <x:c r="F51" s="30" t="str"/>
      <x:c r="G51" s="30" t="str">
        <x:v>Intervenção (arquivo)</x:v>
      </x:c>
      <x:c r="H51" s="34" t="str"/>
      <x:c r="I51" s="34" t="n">
        <x:v>5</x:v>
      </x:c>
      <x:c r="J51" s="34" t="n">
        <x:f>IF(B51="","",SUMIFS($H$5:$H$500,$B$5:$B$500,B51,$A$5:$A$500,"&lt;="&amp;A51)-SUMIFS($I$5:$I$500,$B$5:$B$500,B51,$A$5:$A$500,"&lt;="&amp;A51))</x:f>
        <x:v>0</x:v>
      </x:c>
      <x:c r="K51" s="30" t="str">
        <x:f>IF(B51="","",IF(J51&lt;=0,"ESGOTADO",IF(J51&lt;=Config!$H$2,"SALDO CRÍTICO",IF(J51&lt;=Config!$H$3,"SALDO BAIXO","OK"))))</x:f>
        <x:v>ESGOTADO</x:v>
      </x:c>
      <x:c r="L51" s="34" t="str"/>
      <x:c r="M51" s="30" t="str">
        <x:v>CLÍNICA REBALANCE (NAIDE)</x:v>
      </x:c>
    </x:row>
    <x:row r="52">
      <x:c r="A52" s="30" t="n">
        <x:v>48</x:v>
      </x:c>
      <x:c r="B52" s="30" t="str">
        <x:v>CONTORNOS SUBLIMES (FMPILOTO)</x:v>
      </x:c>
      <x:c r="C52" s="32" t="n">
        <x:v>45054</x:v>
      </x:c>
      <x:c r="D52" s="30" t="str">
        <x:v>Compra</x:v>
      </x:c>
      <x:c r="E52" s="30" t="str"/>
      <x:c r="F52" s="30" t="str"/>
      <x:c r="G52" s="30" t="str">
        <x:v>Aquisição/Saldo inicial pack (arquivo)</x:v>
      </x:c>
      <x:c r="H52" s="34" t="n">
        <x:v>15</x:v>
      </x:c>
      <x:c r="I52" s="34" t="str"/>
      <x:c r="J52" s="34" t="n">
        <x:f>IF(B52="","",SUMIFS($H$5:$H$500,$B$5:$B$500,B52,$A$5:$A$500,"&lt;="&amp;A52)-SUMIFS($I$5:$I$500,$B$5:$B$500,B52,$A$5:$A$500,"&lt;="&amp;A52))</x:f>
        <x:v>15</x:v>
      </x:c>
      <x:c r="K52" s="30" t="str">
        <x:f>IF(B52="","",IF(J52&lt;=0,"ESGOTADO",IF(J52&lt;=Config!$H$2,"SALDO CRÍTICO",IF(J52&lt;=Config!$H$3,"SALDO BAIXO","OK"))))</x:f>
        <x:v>OK</x:v>
      </x:c>
      <x:c r="L52" s="34" t="str"/>
      <x:c r="M52" s="30" t="str">
        <x:v>CONTORNOS SUBLIMES (FMPILOTO)</x:v>
      </x:c>
    </x:row>
    <x:row r="53">
      <x:c r="A53" s="30" t="n">
        <x:v>49</x:v>
      </x:c>
      <x:c r="B53" s="30" t="str">
        <x:v>CONTORNOS SUBLIMES (FMPILOTO)</x:v>
      </x:c>
      <x:c r="C53" s="32" t="n">
        <x:v>45054</x:v>
      </x:c>
      <x:c r="D53" s="30" t="str">
        <x:v>Intervenção</x:v>
      </x:c>
      <x:c r="E53" s="30" t="str"/>
      <x:c r="F53" s="30" t="str"/>
      <x:c r="G53" s="30" t="str">
        <x:v>Intervenção (arquivo)</x:v>
      </x:c>
      <x:c r="H53" s="34" t="str"/>
      <x:c r="I53" s="34" t="n">
        <x:v>2.8</x:v>
      </x:c>
      <x:c r="J53" s="34" t="n">
        <x:f>IF(B53="","",SUMIFS($H$5:$H$500,$B$5:$B$500,B53,$A$5:$A$500,"&lt;="&amp;A53)-SUMIFS($I$5:$I$500,$B$5:$B$500,B53,$A$5:$A$500,"&lt;="&amp;A53))</x:f>
        <x:v>12.2</x:v>
      </x:c>
      <x:c r="K53" s="30" t="str">
        <x:f>IF(B53="","",IF(J53&lt;=0,"ESGOTADO",IF(J53&lt;=Config!$H$2,"SALDO CRÍTICO",IF(J53&lt;=Config!$H$3,"SALDO BAIXO","OK"))))</x:f>
        <x:v>OK</x:v>
      </x:c>
      <x:c r="L53" s="34" t="str"/>
      <x:c r="M53" s="30" t="str">
        <x:v>CONTORNOS SUBLIMES (FMPILOTO)</x:v>
      </x:c>
    </x:row>
    <x:row r="54">
      <x:c r="A54" s="30" t="n">
        <x:v>50</x:v>
      </x:c>
      <x:c r="B54" s="30" t="str">
        <x:v>CONTORNOS SUBLIMES (FMPILOTO)</x:v>
      </x:c>
      <x:c r="C54" s="32" t="n">
        <x:v>45133</x:v>
      </x:c>
      <x:c r="D54" s="30" t="str">
        <x:v>Intervenção</x:v>
      </x:c>
      <x:c r="E54" s="30" t="str"/>
      <x:c r="F54" s="30" t="str"/>
      <x:c r="G54" s="30" t="str">
        <x:v>Intervenção (arquivo)</x:v>
      </x:c>
      <x:c r="H54" s="34" t="str"/>
      <x:c r="I54" s="34" t="n">
        <x:v>1</x:v>
      </x:c>
      <x:c r="J54" s="34" t="n">
        <x:f>IF(B54="","",SUMIFS($H$5:$H$500,$B$5:$B$500,B54,$A$5:$A$500,"&lt;="&amp;A54)-SUMIFS($I$5:$I$500,$B$5:$B$500,B54,$A$5:$A$500,"&lt;="&amp;A54))</x:f>
        <x:v>11.2</x:v>
      </x:c>
      <x:c r="K54" s="30" t="str">
        <x:f>IF(B54="","",IF(J54&lt;=0,"ESGOTADO",IF(J54&lt;=Config!$H$2,"SALDO CRÍTICO",IF(J54&lt;=Config!$H$3,"SALDO BAIXO","OK"))))</x:f>
        <x:v>OK</x:v>
      </x:c>
      <x:c r="L54" s="34" t="str"/>
      <x:c r="M54" s="30" t="str">
        <x:v>CONTORNOS SUBLIMES (FMPILOTO)</x:v>
      </x:c>
    </x:row>
    <x:row r="55">
      <x:c r="A55" s="30" t="n">
        <x:v>51</x:v>
      </x:c>
      <x:c r="B55" s="30" t="str">
        <x:v>CONTORNOS SUBLIMES (FMPILOTO)</x:v>
      </x:c>
      <x:c r="C55" s="32" t="n">
        <x:v>45162</x:v>
      </x:c>
      <x:c r="D55" s="30" t="str">
        <x:v>Intervenção</x:v>
      </x:c>
      <x:c r="E55" s="30" t="str"/>
      <x:c r="F55" s="30" t="str"/>
      <x:c r="G55" s="30" t="str">
        <x:v>Intervenção (arquivo)</x:v>
      </x:c>
      <x:c r="H55" s="34" t="str"/>
      <x:c r="I55" s="34" t="n">
        <x:v>1</x:v>
      </x:c>
      <x:c r="J55" s="34" t="n">
        <x:f>IF(B55="","",SUMIFS($H$5:$H$500,$B$5:$B$500,B55,$A$5:$A$500,"&lt;="&amp;A55)-SUMIFS($I$5:$I$500,$B$5:$B$500,B55,$A$5:$A$500,"&lt;="&amp;A55))</x:f>
        <x:v>10.2</x:v>
      </x:c>
      <x:c r="K55" s="30" t="str">
        <x:f>IF(B55="","",IF(J55&lt;=0,"ESGOTADO",IF(J55&lt;=Config!$H$2,"SALDO CRÍTICO",IF(J55&lt;=Config!$H$3,"SALDO BAIXO","OK"))))</x:f>
        <x:v>OK</x:v>
      </x:c>
      <x:c r="L55" s="34" t="str"/>
      <x:c r="M55" s="30" t="str">
        <x:v>CONTORNOS SUBLIMES (FMPILOTO)</x:v>
      </x:c>
    </x:row>
    <x:row r="56">
      <x:c r="A56" s="30" t="n">
        <x:v>52</x:v>
      </x:c>
      <x:c r="B56" s="30" t="str">
        <x:v>CONTORNOS SUBLIMES (FMPILOTO)</x:v>
      </x:c>
      <x:c r="C56" s="32" t="n">
        <x:v>45166</x:v>
      </x:c>
      <x:c r="D56" s="30" t="str">
        <x:v>Intervenção</x:v>
      </x:c>
      <x:c r="E56" s="30" t="str"/>
      <x:c r="F56" s="30" t="str"/>
      <x:c r="G56" s="30" t="str">
        <x:v>Intervenção (arquivo)</x:v>
      </x:c>
      <x:c r="H56" s="34" t="str"/>
      <x:c r="I56" s="34" t="n">
        <x:v>0.2</x:v>
      </x:c>
      <x:c r="J56" s="34" t="n">
        <x:f>IF(B56="","",SUMIFS($H$5:$H$500,$B$5:$B$500,B56,$A$5:$A$500,"&lt;="&amp;A56)-SUMIFS($I$5:$I$500,$B$5:$B$500,B56,$A$5:$A$500,"&lt;="&amp;A56))</x:f>
        <x:v>10</x:v>
      </x:c>
      <x:c r="K56" s="30" t="str">
        <x:f>IF(B56="","",IF(J56&lt;=0,"ESGOTADO",IF(J56&lt;=Config!$H$2,"SALDO CRÍTICO",IF(J56&lt;=Config!$H$3,"SALDO BAIXO","OK"))))</x:f>
        <x:v>OK</x:v>
      </x:c>
      <x:c r="L56" s="34" t="str"/>
      <x:c r="M56" s="30" t="str">
        <x:v>CONTORNOS SUBLIMES (FMPILOTO)</x:v>
      </x:c>
    </x:row>
    <x:row r="57">
      <x:c r="A57" s="30" t="n">
        <x:v>53</x:v>
      </x:c>
      <x:c r="B57" s="30" t="str">
        <x:v>CONTORNOS SUBLIMES (FMPILOTO)</x:v>
      </x:c>
      <x:c r="C57" s="32" t="n">
        <x:v>45184</x:v>
      </x:c>
      <x:c r="D57" s="30" t="str">
        <x:v>Intervenção</x:v>
      </x:c>
      <x:c r="E57" s="30" t="str"/>
      <x:c r="F57" s="30" t="str"/>
      <x:c r="G57" s="30" t="str">
        <x:v>Migracao de emails para Microsoft</x:v>
      </x:c>
      <x:c r="H57" s="34" t="str"/>
      <x:c r="I57" s="34" t="n">
        <x:v>4</x:v>
      </x:c>
      <x:c r="J57" s="34" t="n">
        <x:f>IF(B57="","",SUMIFS($H$5:$H$500,$B$5:$B$500,B57,$A$5:$A$500,"&lt;="&amp;A57)-SUMIFS($I$5:$I$500,$B$5:$B$500,B57,$A$5:$A$500,"&lt;="&amp;A57))</x:f>
        <x:v>6</x:v>
      </x:c>
      <x:c r="K57" s="30" t="str">
        <x:f>IF(B57="","",IF(J57&lt;=0,"ESGOTADO",IF(J57&lt;=Config!$H$2,"SALDO CRÍTICO",IF(J57&lt;=Config!$H$3,"SALDO BAIXO","OK"))))</x:f>
        <x:v>OK</x:v>
      </x:c>
      <x:c r="L57" s="34" t="str"/>
      <x:c r="M57" s="30" t="str">
        <x:v>CONTORNOS SUBLIMES (FMPILOTO)</x:v>
      </x:c>
    </x:row>
    <x:row r="58">
      <x:c r="A58" s="30" t="n">
        <x:v>54</x:v>
      </x:c>
      <x:c r="B58" s="30" t="str">
        <x:v>CONTORNOS SUBLIMES (FMPILOTO)</x:v>
      </x:c>
      <x:c r="C58" s="32" t="n">
        <x:v>45187</x:v>
      </x:c>
      <x:c r="D58" s="30" t="str">
        <x:v>Intervenção</x:v>
      </x:c>
      <x:c r="E58" s="30" t="str"/>
      <x:c r="F58" s="30" t="str"/>
      <x:c r="G58" s="30" t="str">
        <x:v>PC de Sofia sem nada, diz ela...</x:v>
      </x:c>
      <x:c r="H58" s="34" t="str"/>
      <x:c r="I58" s="34" t="n">
        <x:v>0.2</x:v>
      </x:c>
      <x:c r="J58" s="34" t="n">
        <x:f>IF(B58="","",SUMIFS($H$5:$H$500,$B$5:$B$500,B58,$A$5:$A$500,"&lt;="&amp;A58)-SUMIFS($I$5:$I$500,$B$5:$B$500,B58,$A$5:$A$500,"&lt;="&amp;A58))</x:f>
        <x:v>5.800000000000001</x:v>
      </x:c>
      <x:c r="K58" s="30" t="str">
        <x:f>IF(B58="","",IF(J58&lt;=0,"ESGOTADO",IF(J58&lt;=Config!$H$2,"SALDO CRÍTICO",IF(J58&lt;=Config!$H$3,"SALDO BAIXO","OK"))))</x:f>
        <x:v>OK</x:v>
      </x:c>
      <x:c r="L58" s="34" t="str"/>
      <x:c r="M58" s="30" t="str">
        <x:v>CONTORNOS SUBLIMES (FMPILOTO)</x:v>
      </x:c>
    </x:row>
    <x:row r="59">
      <x:c r="A59" s="30" t="n">
        <x:v>55</x:v>
      </x:c>
      <x:c r="B59" s="30" t="str">
        <x:v>CONTORNOS SUBLIMES (FMPILOTO)</x:v>
      </x:c>
      <x:c r="C59" s="32" t="n">
        <x:v>45229</x:v>
      </x:c>
      <x:c r="D59" s="30" t="str">
        <x:v>Intervenção</x:v>
      </x:c>
      <x:c r="E59" s="30" t="str"/>
      <x:c r="F59" s="30" t="str"/>
      <x:c r="G59" s="30" t="str">
        <x:v>PC Roberto</x:v>
      </x:c>
      <x:c r="H59" s="34" t="str"/>
      <x:c r="I59" s="34" t="n">
        <x:v>1</x:v>
      </x:c>
      <x:c r="J59" s="34" t="n">
        <x:f>IF(B59="","",SUMIFS($H$5:$H$500,$B$5:$B$500,B59,$A$5:$A$500,"&lt;="&amp;A59)-SUMIFS($I$5:$I$500,$B$5:$B$500,B59,$A$5:$A$500,"&lt;="&amp;A59))</x:f>
        <x:v>4.800000000000001</x:v>
      </x:c>
      <x:c r="K59" s="30" t="str">
        <x:f>IF(B59="","",IF(J59&lt;=0,"ESGOTADO",IF(J59&lt;=Config!$H$2,"SALDO CRÍTICO",IF(J59&lt;=Config!$H$3,"SALDO BAIXO","OK"))))</x:f>
        <x:v>OK</x:v>
      </x:c>
      <x:c r="L59" s="34" t="str"/>
      <x:c r="M59" s="30" t="str">
        <x:v>CONTORNOS SUBLIMES (FMPILOTO)</x:v>
      </x:c>
    </x:row>
    <x:row r="60">
      <x:c r="A60" s="30" t="n">
        <x:v>56</x:v>
      </x:c>
      <x:c r="B60" s="30" t="str">
        <x:v>CONTORNOS SUBLIMES (FMPILOTO)</x:v>
      </x:c>
      <x:c r="C60" s="32" t="n">
        <x:v>45275</x:v>
      </x:c>
      <x:c r="D60" s="30" t="str">
        <x:v>Intervenção</x:v>
      </x:c>
      <x:c r="E60" s="30" t="str"/>
      <x:c r="F60" s="30" t="str"/>
      <x:c r="G60" s="30" t="str">
        <x:v>Saida de Sofia</x:v>
      </x:c>
      <x:c r="H60" s="34" t="str"/>
      <x:c r="I60" s="34" t="n">
        <x:v>1</x:v>
      </x:c>
      <x:c r="J60" s="34" t="n">
        <x:f>IF(B60="","",SUMIFS($H$5:$H$500,$B$5:$B$500,B60,$A$5:$A$500,"&lt;="&amp;A60)-SUMIFS($I$5:$I$500,$B$5:$B$500,B60,$A$5:$A$500,"&lt;="&amp;A60))</x:f>
        <x:v>3.8000000000000007</x:v>
      </x:c>
      <x:c r="K60" s="30" t="str">
        <x:f>IF(B60="","",IF(J60&lt;=0,"ESGOTADO",IF(J60&lt;=Config!$H$2,"SALDO CRÍTICO",IF(J60&lt;=Config!$H$3,"SALDO BAIXO","OK"))))</x:f>
        <x:v>OK</x:v>
      </x:c>
      <x:c r="L60" s="34" t="str"/>
      <x:c r="M60" s="30" t="str">
        <x:v>CONTORNOS SUBLIMES (FMPILOTO)</x:v>
      </x:c>
    </x:row>
    <x:row r="61">
      <x:c r="A61" s="30" t="n">
        <x:v>57</x:v>
      </x:c>
      <x:c r="B61" s="30" t="str">
        <x:v>CONTORNOS SUBLIMES (FMPILOTO)</x:v>
      </x:c>
      <x:c r="C61" s="32" t="n">
        <x:v>45280</x:v>
      </x:c>
      <x:c r="D61" s="30" t="str">
        <x:v>Intervenção</x:v>
      </x:c>
      <x:c r="E61" s="30" t="str"/>
      <x:c r="F61" s="30" t="str"/>
      <x:c r="G61" s="30" t="str">
        <x:v>AR iMac Onedrive</x:v>
      </x:c>
      <x:c r="H61" s="34" t="str"/>
      <x:c r="I61" s="34" t="n">
        <x:v>0.15</x:v>
      </x:c>
      <x:c r="J61" s="34" t="n">
        <x:f>IF(B61="","",SUMIFS($H$5:$H$500,$B$5:$B$500,B61,$A$5:$A$500,"&lt;="&amp;A61)-SUMIFS($I$5:$I$500,$B$5:$B$500,B61,$A$5:$A$500,"&lt;="&amp;A61))</x:f>
        <x:v>3.6500000000000004</x:v>
      </x:c>
      <x:c r="K61" s="30" t="str">
        <x:f>IF(B61="","",IF(J61&lt;=0,"ESGOTADO",IF(J61&lt;=Config!$H$2,"SALDO CRÍTICO",IF(J61&lt;=Config!$H$3,"SALDO BAIXO","OK"))))</x:f>
        <x:v>OK</x:v>
      </x:c>
      <x:c r="L61" s="34" t="str"/>
      <x:c r="M61" s="30" t="str">
        <x:v>CONTORNOS SUBLIMES (FMPILOTO)</x:v>
      </x:c>
    </x:row>
    <x:row r="62">
      <x:c r="A62" s="30" t="n">
        <x:v>58</x:v>
      </x:c>
      <x:c r="B62" s="30" t="str">
        <x:v>CONTORNOS SUBLIMES (FMPILOTO)</x:v>
      </x:c>
      <x:c r="C62" s="32" t="n">
        <x:v>45371</x:v>
      </x:c>
      <x:c r="D62" s="30" t="str">
        <x:v>Intervenção</x:v>
      </x:c>
      <x:c r="E62" s="30" t="str"/>
      <x:c r="F62" s="30" t="str"/>
      <x:c r="G62" s="30" t="str">
        <x:v>Entrega portatil e ajuda com imac</x:v>
      </x:c>
      <x:c r="H62" s="34" t="str"/>
      <x:c r="I62" s="34" t="n">
        <x:v>1</x:v>
      </x:c>
      <x:c r="J62" s="34" t="n">
        <x:f>IF(B62="","",SUMIFS($H$5:$H$500,$B$5:$B$500,B62,$A$5:$A$500,"&lt;="&amp;A62)-SUMIFS($I$5:$I$500,$B$5:$B$500,B62,$A$5:$A$500,"&lt;="&amp;A62))</x:f>
        <x:v>2.6500000000000004</x:v>
      </x:c>
      <x:c r="K62" s="30" t="str">
        <x:f>IF(B62="","",IF(J62&lt;=0,"ESGOTADO",IF(J62&lt;=Config!$H$2,"SALDO CRÍTICO",IF(J62&lt;=Config!$H$3,"SALDO BAIXO","OK"))))</x:f>
        <x:v>OK</x:v>
      </x:c>
      <x:c r="L62" s="34" t="str"/>
      <x:c r="M62" s="30" t="str">
        <x:v>CONTORNOS SUBLIMES (FMPILOTO)</x:v>
      </x:c>
    </x:row>
    <x:row r="63">
      <x:c r="A63" s="30" t="n">
        <x:v>59</x:v>
      </x:c>
      <x:c r="B63" s="30" t="str">
        <x:v>CONTORNOS SUBLIMES (FMPILOTO)</x:v>
      </x:c>
      <x:c r="C63" s="32" t="n">
        <x:v>45415</x:v>
      </x:c>
      <x:c r="D63" s="30" t="str">
        <x:v>Intervenção</x:v>
      </x:c>
      <x:c r="E63" s="30" t="str"/>
      <x:c r="F63" s="30" t="str"/>
      <x:c r="G63" s="30" t="str">
        <x:v>Renovação de AV.</x:v>
      </x:c>
      <x:c r="H63" s="34" t="str"/>
      <x:c r="I63" s="34" t="n">
        <x:v>0.15</x:v>
      </x:c>
      <x:c r="J63" s="34" t="n">
        <x:f>IF(B63="","",SUMIFS($H$5:$H$500,$B$5:$B$500,B63,$A$5:$A$500,"&lt;="&amp;A63)-SUMIFS($I$5:$I$500,$B$5:$B$500,B63,$A$5:$A$500,"&lt;="&amp;A63))</x:f>
        <x:v>2.5</x:v>
      </x:c>
      <x:c r="K63" s="30" t="str">
        <x:f>IF(B63="","",IF(J63&lt;=0,"ESGOTADO",IF(J63&lt;=Config!$H$2,"SALDO CRÍTICO",IF(J63&lt;=Config!$H$3,"SALDO BAIXO","OK"))))</x:f>
        <x:v>OK</x:v>
      </x:c>
      <x:c r="L63" s="34" t="str"/>
      <x:c r="M63" s="30" t="str">
        <x:v>CONTORNOS SUBLIMES (FMPILOTO)</x:v>
      </x:c>
    </x:row>
    <x:row r="64">
      <x:c r="A64" s="30" t="n">
        <x:v>60</x:v>
      </x:c>
      <x:c r="B64" s="30" t="str">
        <x:v>CONTORNOS SUBLIMES (FMPILOTO)</x:v>
      </x:c>
      <x:c r="C64" s="32" t="n">
        <x:v>45418</x:v>
      </x:c>
      <x:c r="D64" s="30" t="str">
        <x:v>Intervenção</x:v>
      </x:c>
      <x:c r="E64" s="30" t="str"/>
      <x:c r="F64" s="30" t="str"/>
      <x:c r="G64" s="30" t="str">
        <x:v>Verificação de emails e dominios</x:v>
      </x:c>
      <x:c r="H64" s="34" t="str"/>
      <x:c r="I64" s="34" t="n">
        <x:v>0.25</x:v>
      </x:c>
      <x:c r="J64" s="34" t="n">
        <x:f>IF(B64="","",SUMIFS($H$5:$H$500,$B$5:$B$500,B64,$A$5:$A$500,"&lt;="&amp;A64)-SUMIFS($I$5:$I$500,$B$5:$B$500,B64,$A$5:$A$500,"&lt;="&amp;A64))</x:f>
        <x:v>2.25</x:v>
      </x:c>
      <x:c r="K64" s="30" t="str">
        <x:f>IF(B64="","",IF(J64&lt;=0,"ESGOTADO",IF(J64&lt;=Config!$H$2,"SALDO CRÍTICO",IF(J64&lt;=Config!$H$3,"SALDO BAIXO","OK"))))</x:f>
        <x:v>OK</x:v>
      </x:c>
      <x:c r="L64" s="34" t="str"/>
      <x:c r="M64" s="30" t="str">
        <x:v>CONTORNOS SUBLIMES (FMPILOTO)</x:v>
      </x:c>
    </x:row>
    <x:row r="65">
      <x:c r="A65" s="30" t="n">
        <x:v>61</x:v>
      </x:c>
      <x:c r="B65" s="30" t="str">
        <x:v>CROA Clinica Dentaria</x:v>
      </x:c>
      <x:c r="C65" s="32"/>
      <x:c r="D65" s="30" t="str">
        <x:v>Compra</x:v>
      </x:c>
      <x:c r="E65" s="30" t="str"/>
      <x:c r="F65" s="30" t="str"/>
      <x:c r="G65" s="30" t="str">
        <x:v>Aquisição/Saldo inicial pack (arquivo)</x:v>
      </x:c>
      <x:c r="H65" s="34" t="n">
        <x:v>20</x:v>
      </x:c>
      <x:c r="I65" s="34" t="str"/>
      <x:c r="J65" s="34" t="n">
        <x:f>IF(B65="","",SUMIFS($H$5:$H$500,$B$5:$B$500,B65,$A$5:$A$500,"&lt;="&amp;A65)-SUMIFS($I$5:$I$500,$B$5:$B$500,B65,$A$5:$A$500,"&lt;="&amp;A65))</x:f>
        <x:v>20</x:v>
      </x:c>
      <x:c r="K65" s="30" t="str">
        <x:f>IF(B65="","",IF(J65&lt;=0,"ESGOTADO",IF(J65&lt;=Config!$H$2,"SALDO CRÍTICO",IF(J65&lt;=Config!$H$3,"SALDO BAIXO","OK"))))</x:f>
        <x:v>OK</x:v>
      </x:c>
      <x:c r="L65" s="34" t="str"/>
      <x:c r="M65" s="30" t="str">
        <x:v>CROA Clinica Dentaria</x:v>
      </x:c>
    </x:row>
    <x:row r="66">
      <x:c r="A66" s="30" t="n">
        <x:v>62</x:v>
      </x:c>
      <x:c r="B66" s="30" t="str">
        <x:v>CROA Clinica Dentaria</x:v>
      </x:c>
      <x:c r="C66" s="32"/>
      <x:c r="D66" s="30" t="str">
        <x:v>Intervenção</x:v>
      </x:c>
      <x:c r="E66" s="30" t="str"/>
      <x:c r="F66" s="30" t="str"/>
      <x:c r="G66" s="30" t="str">
        <x:v>Renovação Clinica</x:v>
      </x:c>
      <x:c r="H66" s="34" t="str"/>
      <x:c r="I66" s="34" t="n">
        <x:v>12</x:v>
      </x:c>
      <x:c r="J66" s="34" t="n">
        <x:f>IF(B66="","",SUMIFS($H$5:$H$500,$B$5:$B$500,B66,$A$5:$A$500,"&lt;="&amp;A66)-SUMIFS($I$5:$I$500,$B$5:$B$500,B66,$A$5:$A$500,"&lt;="&amp;A66))</x:f>
        <x:v>8</x:v>
      </x:c>
      <x:c r="K66" s="30" t="str">
        <x:f>IF(B66="","",IF(J66&lt;=0,"ESGOTADO",IF(J66&lt;=Config!$H$2,"SALDO CRÍTICO",IF(J66&lt;=Config!$H$3,"SALDO BAIXO","OK"))))</x:f>
        <x:v>OK</x:v>
      </x:c>
      <x:c r="L66" s="34" t="str"/>
      <x:c r="M66" s="30" t="str">
        <x:v>CROA Clinica Dentaria</x:v>
      </x:c>
    </x:row>
    <x:row r="67">
      <x:c r="A67" s="30" t="n">
        <x:v>63</x:v>
      </x:c>
      <x:c r="B67" s="30" t="str">
        <x:v>DNI - Medicina e Saúde</x:v>
      </x:c>
      <x:c r="C67" s="32" t="n">
        <x:v>46080</x:v>
      </x:c>
      <x:c r="D67" s="30" t="str">
        <x:v>Intervenção</x:v>
      </x:c>
      <x:c r="E67" s="30" t="str">
        <x:v>Daniel</x:v>
      </x:c>
      <x:c r="F67" s="30" t="str">
        <x:v>Ivan Lopes</x:v>
      </x:c>
      <x:c r="G67" s="30" t="str">
        <x:v>Acompanhar Carlos para CCTV</x:v>
      </x:c>
      <x:c r="H67" s="34" t="str"/>
      <x:c r="I67" s="34" t="n">
        <x:v>1</x:v>
      </x:c>
      <x:c r="J67" s="34" t="n">
        <x:f>IF(B67="","",SUMIFS($H$5:$H$500,$B$5:$B$500,B67,$A$5:$A$500,"&lt;="&amp;A67)-SUMIFS($I$5:$I$500,$B$5:$B$500,B67,$A$5:$A$500,"&lt;="&amp;A67))</x:f>
        <x:v>-1</x:v>
      </x:c>
      <x:c r="K67" s="30" t="str">
        <x:f>IF(B67="","",IF(J67&lt;=0,"ESGOTADO",IF(J67&lt;=Config!$H$2,"SALDO CRÍTICO",IF(J67&lt;=Config!$H$3,"SALDO BAIXO","OK"))))</x:f>
        <x:v>ESGOTADO</x:v>
      </x:c>
      <x:c r="L67" s="34" t="n">
        <x:v>4</x:v>
      </x:c>
      <x:c r="M67" s="30" t="str">
        <x:v>DNI-Medicina e Saude</x:v>
      </x:c>
    </x:row>
    <x:row r="68">
      <x:c r="A68" s="30" t="n">
        <x:v>64</x:v>
      </x:c>
      <x:c r="B68" s="30" t="str">
        <x:v>DNI - Medicina e Saúde</x:v>
      </x:c>
      <x:c r="C68" s="32" t="n">
        <x:v>46091</x:v>
      </x:c>
      <x:c r="D68" s="30" t="str">
        <x:v>Compra</x:v>
      </x:c>
      <x:c r="E68" s="30" t="str"/>
      <x:c r="F68" s="30" t="str"/>
      <x:c r="G68" s="30" t="str">
        <x:v>Aquisição Pack 5 Horas</x:v>
      </x:c>
      <x:c r="H68" s="34" t="n">
        <x:v>5</x:v>
      </x:c>
      <x:c r="I68" s="34" t="str"/>
      <x:c r="J68" s="34" t="n">
        <x:f>IF(B68="","",SUMIFS($H$5:$H$500,$B$5:$B$500,B68,$A$5:$A$500,"&lt;="&amp;A68)-SUMIFS($I$5:$I$500,$B$5:$B$500,B68,$A$5:$A$500,"&lt;="&amp;A68))</x:f>
        <x:v>4</x:v>
      </x:c>
      <x:c r="K68" s="30" t="str">
        <x:f>IF(B68="","",IF(J68&lt;=0,"ESGOTADO",IF(J68&lt;=Config!$H$2,"SALDO CRÍTICO",IF(J68&lt;=Config!$H$3,"SALDO BAIXO","OK"))))</x:f>
        <x:v>OK</x:v>
      </x:c>
      <x:c r="L68" s="34" t="n">
        <x:v>5</x:v>
      </x:c>
      <x:c r="M68" s="30" t="str">
        <x:v>DNI-Medicina e Saude</x:v>
      </x:c>
    </x:row>
    <x:row r="69">
      <x:c r="A69" s="30" t="n">
        <x:v>65</x:v>
      </x:c>
      <x:c r="B69" s="30" t="str">
        <x:v>DNI - Medicina e Saúde</x:v>
      </x:c>
      <x:c r="C69" s="32" t="n">
        <x:v>46121</x:v>
      </x:c>
      <x:c r="D69" s="30" t="str">
        <x:v>Intervenção</x:v>
      </x:c>
      <x:c r="E69" s="30" t="str">
        <x:v>Daniel</x:v>
      </x:c>
      <x:c r="F69" s="30" t="str">
        <x:v>Ivan Lopes</x:v>
      </x:c>
      <x:c r="G69" s="30" t="str">
        <x:v>Instalação de novos PCs com Clone</x:v>
      </x:c>
      <x:c r="H69" s="34" t="str"/>
      <x:c r="I69" s="34" t="n">
        <x:v>1</x:v>
      </x:c>
      <x:c r="J69" s="34" t="n">
        <x:f>IF(B69="","",SUMIFS($H$5:$H$500,$B$5:$B$500,B69,$A$5:$A$500,"&lt;="&amp;A69)-SUMIFS($I$5:$I$500,$B$5:$B$500,B69,$A$5:$A$500,"&lt;="&amp;A69))</x:f>
        <x:v>3</x:v>
      </x:c>
      <x:c r="K69" s="30" t="str">
        <x:f>IF(B69="","",IF(J69&lt;=0,"ESGOTADO",IF(J69&lt;=Config!$H$2,"SALDO CRÍTICO",IF(J69&lt;=Config!$H$3,"SALDO BAIXO","OK"))))</x:f>
        <x:v>OK</x:v>
      </x:c>
      <x:c r="L69" s="34" t="n">
        <x:v>3</x:v>
      </x:c>
      <x:c r="M69" s="30" t="str">
        <x:v>DNI-Medicina e Saude</x:v>
      </x:c>
    </x:row>
    <x:row r="70">
      <x:c r="A70" s="30" t="n">
        <x:v>66</x:v>
      </x:c>
      <x:c r="B70" s="30" t="str">
        <x:v>DNI - Medicina e Saúde</x:v>
      </x:c>
      <x:c r="C70" s="32" t="n">
        <x:v>46135</x:v>
      </x:c>
      <x:c r="D70" s="30" t="str">
        <x:v>Intervenção</x:v>
      </x:c>
      <x:c r="E70" s="30" t="str">
        <x:v>Daniel</x:v>
      </x:c>
      <x:c r="F70" s="30" t="str">
        <x:v>Ivan Lopes</x:v>
      </x:c>
      <x:c r="G70" s="30" t="str">
        <x:v>Instalacao de Discos em Gravadores</x:v>
      </x:c>
      <x:c r="H70" s="34" t="str"/>
      <x:c r="I70" s="34" t="n">
        <x:v>1</x:v>
      </x:c>
      <x:c r="J70" s="34" t="n">
        <x:f>IF(B70="","",SUMIFS($H$5:$H$500,$B$5:$B$500,B70,$A$5:$A$500,"&lt;="&amp;A70)-SUMIFS($I$5:$I$500,$B$5:$B$500,B70,$A$5:$A$500,"&lt;="&amp;A70))</x:f>
        <x:v>2</x:v>
      </x:c>
      <x:c r="K70" s="30" t="str">
        <x:f>IF(B70="","",IF(J70&lt;=0,"ESGOTADO",IF(J70&lt;=Config!$H$2,"SALDO CRÍTICO",IF(J70&lt;=Config!$H$3,"SALDO BAIXO","OK"))))</x:f>
        <x:v>SALDO BAIXO</x:v>
      </x:c>
      <x:c r="L70" s="34" t="n">
        <x:v>2</x:v>
      </x:c>
      <x:c r="M70" s="30" t="str">
        <x:v>DNI-Medicina e Saude</x:v>
      </x:c>
    </x:row>
    <x:row r="71">
      <x:c r="A71" s="30" t="n">
        <x:v>67</x:v>
      </x:c>
      <x:c r="B71" s="30" t="str">
        <x:v>DNI - Medicina e Saúde</x:v>
      </x:c>
      <x:c r="C71" s="32"/>
      <x:c r="D71" s="30" t="str">
        <x:v>Compra</x:v>
      </x:c>
      <x:c r="E71" s="30" t="str">
        <x:v>45608</x:v>
      </x:c>
      <x:c r="F71" s="30" t="str">
        <x:v>5</x:v>
      </x:c>
      <x:c r="G71" s="30" t="str">
        <x:v>Aquisição Pack 5 Horas</x:v>
      </x:c>
      <x:c r="H71" s="34" t="n">
        <x:v>5</x:v>
      </x:c>
      <x:c r="I71" s="34" t="str"/>
      <x:c r="J71" s="34" t="n">
        <x:f>IF(B71="","",SUMIFS($H$5:$H$500,$B$5:$B$500,B71,$A$5:$A$500,"&lt;="&amp;A71)-SUMIFS($I$5:$I$500,$B$5:$B$500,B71,$A$5:$A$500,"&lt;="&amp;A71))</x:f>
        <x:v>7</x:v>
      </x:c>
      <x:c r="K71" s="30" t="str">
        <x:f>IF(B71="","",IF(J71&lt;=0,"ESGOTADO",IF(J71&lt;=Config!$H$2,"SALDO CRÍTICO",IF(J71&lt;=Config!$H$3,"SALDO BAIXO","OK"))))</x:f>
        <x:v>OK</x:v>
      </x:c>
      <x:c r="L71" s="34" t="str"/>
      <x:c r="M71" s="30" t="str">
        <x:v>DNI-Medicina e Saude</x:v>
      </x:c>
    </x:row>
    <x:row r="72">
      <x:c r="A72" s="30" t="n">
        <x:v>68</x:v>
      </x:c>
      <x:c r="B72" s="30" t="str">
        <x:v>EAGLE MAGNATA</x:v>
      </x:c>
      <x:c r="C72" s="32" t="n">
        <x:v>44127</x:v>
      </x:c>
      <x:c r="D72" s="30" t="str">
        <x:v>Compra</x:v>
      </x:c>
      <x:c r="E72" s="30" t="str"/>
      <x:c r="F72" s="30" t="str"/>
      <x:c r="G72" s="30" t="str">
        <x:v>Aquisição/Saldo inicial pack (arquivo)</x:v>
      </x:c>
      <x:c r="H72" s="34" t="n">
        <x:v>10</x:v>
      </x:c>
      <x:c r="I72" s="34" t="str"/>
      <x:c r="J72" s="34" t="n">
        <x:f>IF(B72="","",SUMIFS($H$5:$H$500,$B$5:$B$500,B72,$A$5:$A$500,"&lt;="&amp;A72)-SUMIFS($I$5:$I$500,$B$5:$B$500,B72,$A$5:$A$500,"&lt;="&amp;A72))</x:f>
        <x:v>10</x:v>
      </x:c>
      <x:c r="K72" s="30" t="str">
        <x:f>IF(B72="","",IF(J72&lt;=0,"ESGOTADO",IF(J72&lt;=Config!$H$2,"SALDO CRÍTICO",IF(J72&lt;=Config!$H$3,"SALDO BAIXO","OK"))))</x:f>
        <x:v>OK</x:v>
      </x:c>
      <x:c r="L72" s="34" t="str"/>
      <x:c r="M72" s="30" t="str">
        <x:v>EAGLE MAGNATA</x:v>
      </x:c>
    </x:row>
    <x:row r="73">
      <x:c r="A73" s="30" t="n">
        <x:v>69</x:v>
      </x:c>
      <x:c r="B73" s="30" t="str">
        <x:v>EAGLE MAGNATA</x:v>
      </x:c>
      <x:c r="C73" s="32" t="n">
        <x:v>44127</x:v>
      </x:c>
      <x:c r="D73" s="30" t="str">
        <x:v>Intervenção</x:v>
      </x:c>
      <x:c r="E73" s="30" t="str"/>
      <x:c r="F73" s="30" t="str"/>
      <x:c r="G73" s="30" t="str">
        <x:v>Atualizacao iMac</x:v>
      </x:c>
      <x:c r="H73" s="34" t="str"/>
      <x:c r="I73" s="34" t="n">
        <x:v>1</x:v>
      </x:c>
      <x:c r="J73" s="34" t="n">
        <x:f>IF(B73="","",SUMIFS($H$5:$H$500,$B$5:$B$500,B73,$A$5:$A$500,"&lt;="&amp;A73)-SUMIFS($I$5:$I$500,$B$5:$B$500,B73,$A$5:$A$500,"&lt;="&amp;A73))</x:f>
        <x:v>9</x:v>
      </x:c>
      <x:c r="K73" s="30" t="str">
        <x:f>IF(B73="","",IF(J73&lt;=0,"ESGOTADO",IF(J73&lt;=Config!$H$2,"SALDO CRÍTICO",IF(J73&lt;=Config!$H$3,"SALDO BAIXO","OK"))))</x:f>
        <x:v>OK</x:v>
      </x:c>
      <x:c r="L73" s="34" t="str"/>
      <x:c r="M73" s="30" t="str">
        <x:v>EAGLE MAGNATA</x:v>
      </x:c>
    </x:row>
    <x:row r="74">
      <x:c r="A74" s="30" t="n">
        <x:v>70</x:v>
      </x:c>
      <x:c r="B74" s="30" t="str">
        <x:v>EAGLE MAGNATA</x:v>
      </x:c>
      <x:c r="C74" s="32" t="n">
        <x:v>44972</x:v>
      </x:c>
      <x:c r="D74" s="30" t="str">
        <x:v>Compra</x:v>
      </x:c>
      <x:c r="E74" s="30" t="str"/>
      <x:c r="F74" s="30" t="str"/>
      <x:c r="G74" s="30" t="str">
        <x:v>Aquisição/Saldo inicial pack (arquivo)</x:v>
      </x:c>
      <x:c r="H74" s="34" t="n">
        <x:v>10</x:v>
      </x:c>
      <x:c r="I74" s="34" t="str"/>
      <x:c r="J74" s="34" t="n">
        <x:f>IF(B74="","",SUMIFS($H$5:$H$500,$B$5:$B$500,B74,$A$5:$A$500,"&lt;="&amp;A74)-SUMIFS($I$5:$I$500,$B$5:$B$500,B74,$A$5:$A$500,"&lt;="&amp;A74))</x:f>
        <x:v>19</x:v>
      </x:c>
      <x:c r="K74" s="30" t="str">
        <x:f>IF(B74="","",IF(J74&lt;=0,"ESGOTADO",IF(J74&lt;=Config!$H$2,"SALDO CRÍTICO",IF(J74&lt;=Config!$H$3,"SALDO BAIXO","OK"))))</x:f>
        <x:v>OK</x:v>
      </x:c>
      <x:c r="L74" s="34" t="str"/>
      <x:c r="M74" s="30" t="str">
        <x:v>EAGLE MAGNATA</x:v>
      </x:c>
    </x:row>
    <x:row r="75">
      <x:c r="A75" s="30" t="n">
        <x:v>71</x:v>
      </x:c>
      <x:c r="B75" s="30" t="str">
        <x:v>EAGLE MAGNATA</x:v>
      </x:c>
      <x:c r="C75" s="32" t="n">
        <x:v>44972</x:v>
      </x:c>
      <x:c r="D75" s="30" t="str">
        <x:v>Intervenção</x:v>
      </x:c>
      <x:c r="E75" s="30" t="str"/>
      <x:c r="F75" s="30" t="str"/>
      <x:c r="G75" s="30" t="str">
        <x:v>Intervenção (arquivo)</x:v>
      </x:c>
      <x:c r="H75" s="34" t="str"/>
      <x:c r="I75" s="34" t="n">
        <x:v>10</x:v>
      </x:c>
      <x:c r="J75" s="34" t="n">
        <x:f>IF(B75="","",SUMIFS($H$5:$H$500,$B$5:$B$500,B75,$A$5:$A$500,"&lt;="&amp;A75)-SUMIFS($I$5:$I$500,$B$5:$B$500,B75,$A$5:$A$500,"&lt;="&amp;A75))</x:f>
        <x:v>9</x:v>
      </x:c>
      <x:c r="K75" s="30" t="str">
        <x:f>IF(B75="","",IF(J75&lt;=0,"ESGOTADO",IF(J75&lt;=Config!$H$2,"SALDO CRÍTICO",IF(J75&lt;=Config!$H$3,"SALDO BAIXO","OK"))))</x:f>
        <x:v>OK</x:v>
      </x:c>
      <x:c r="L75" s="34" t="str"/>
      <x:c r="M75" s="30" t="str">
        <x:v>EAGLE MAGNATA</x:v>
      </x:c>
    </x:row>
    <x:row r="76">
      <x:c r="A76" s="30" t="n">
        <x:v>72</x:v>
      </x:c>
      <x:c r="B76" s="30" t="str">
        <x:v>EAGLE MAGNATA</x:v>
      </x:c>
      <x:c r="C76" s="32" t="n">
        <x:v>45252</x:v>
      </x:c>
      <x:c r="D76" s="30" t="str">
        <x:v>Intervenção</x:v>
      </x:c>
      <x:c r="E76" s="30" t="str"/>
      <x:c r="F76" s="30" t="str"/>
      <x:c r="G76" s="30" t="str">
        <x:v>reunião remota</x:v>
      </x:c>
      <x:c r="H76" s="34" t="str"/>
      <x:c r="I76" s="34" t="n">
        <x:v>2</x:v>
      </x:c>
      <x:c r="J76" s="34" t="n">
        <x:f>IF(B76="","",SUMIFS($H$5:$H$500,$B$5:$B$500,B76,$A$5:$A$500,"&lt;="&amp;A76)-SUMIFS($I$5:$I$500,$B$5:$B$500,B76,$A$5:$A$500,"&lt;="&amp;A76))</x:f>
        <x:v>7</x:v>
      </x:c>
      <x:c r="K76" s="30" t="str">
        <x:f>IF(B76="","",IF(J76&lt;=0,"ESGOTADO",IF(J76&lt;=Config!$H$2,"SALDO CRÍTICO",IF(J76&lt;=Config!$H$3,"SALDO BAIXO","OK"))))</x:f>
        <x:v>OK</x:v>
      </x:c>
      <x:c r="L76" s="34" t="str"/>
      <x:c r="M76" s="30" t="str">
        <x:v>EAGLE MAGNATA</x:v>
      </x:c>
    </x:row>
    <x:row r="77">
      <x:c r="A77" s="30" t="n">
        <x:v>73</x:v>
      </x:c>
      <x:c r="B77" s="30" t="str">
        <x:v>EAGLE MAGNATA</x:v>
      </x:c>
      <x:c r="C77" s="32" t="n">
        <x:v>45259</x:v>
      </x:c>
      <x:c r="D77" s="30" t="str">
        <x:v>Intervenção</x:v>
      </x:c>
      <x:c r="E77" s="30" t="str"/>
      <x:c r="F77" s="30" t="str"/>
      <x:c r="G77" s="30" t="str">
        <x:v>reunião remota</x:v>
      </x:c>
      <x:c r="H77" s="34" t="str"/>
      <x:c r="I77" s="34" t="n">
        <x:v>0.5</x:v>
      </x:c>
      <x:c r="J77" s="34" t="n">
        <x:f>IF(B77="","",SUMIFS($H$5:$H$500,$B$5:$B$500,B77,$A$5:$A$500,"&lt;="&amp;A77)-SUMIFS($I$5:$I$500,$B$5:$B$500,B77,$A$5:$A$500,"&lt;="&amp;A77))</x:f>
        <x:v>6.5</x:v>
      </x:c>
      <x:c r="K77" s="30" t="str">
        <x:f>IF(B77="","",IF(J77&lt;=0,"ESGOTADO",IF(J77&lt;=Config!$H$2,"SALDO CRÍTICO",IF(J77&lt;=Config!$H$3,"SALDO BAIXO","OK"))))</x:f>
        <x:v>OK</x:v>
      </x:c>
      <x:c r="L77" s="34" t="str"/>
      <x:c r="M77" s="30" t="str">
        <x:v>EAGLE MAGNATA</x:v>
      </x:c>
    </x:row>
    <x:row r="78">
      <x:c r="A78" s="30" t="n">
        <x:v>74</x:v>
      </x:c>
      <x:c r="B78" s="30" t="str">
        <x:v>EAGLE MAGNATA</x:v>
      </x:c>
      <x:c r="C78" s="32" t="n">
        <x:v>45364</x:v>
      </x:c>
      <x:c r="D78" s="30" t="str">
        <x:v>Compra</x:v>
      </x:c>
      <x:c r="E78" s="30" t="str"/>
      <x:c r="F78" s="30" t="str"/>
      <x:c r="G78" s="30" t="str">
        <x:v>Aquisição/Saldo inicial pack (arquivo)</x:v>
      </x:c>
      <x:c r="H78" s="34" t="n">
        <x:v>5</x:v>
      </x:c>
      <x:c r="I78" s="34" t="str"/>
      <x:c r="J78" s="34" t="n">
        <x:f>IF(B78="","",SUMIFS($H$5:$H$500,$B$5:$B$500,B78,$A$5:$A$500,"&lt;="&amp;A78)-SUMIFS($I$5:$I$500,$B$5:$B$500,B78,$A$5:$A$500,"&lt;="&amp;A78))</x:f>
        <x:v>11.5</x:v>
      </x:c>
      <x:c r="K78" s="30" t="str">
        <x:f>IF(B78="","",IF(J78&lt;=0,"ESGOTADO",IF(J78&lt;=Config!$H$2,"SALDO CRÍTICO",IF(J78&lt;=Config!$H$3,"SALDO BAIXO","OK"))))</x:f>
        <x:v>OK</x:v>
      </x:c>
      <x:c r="L78" s="34" t="str"/>
      <x:c r="M78" s="30" t="str">
        <x:v>EAGLE MAGNATA</x:v>
      </x:c>
    </x:row>
    <x:row r="79">
      <x:c r="A79" s="30" t="n">
        <x:v>75</x:v>
      </x:c>
      <x:c r="B79" s="30" t="str">
        <x:v>EAGLE MAGNATA</x:v>
      </x:c>
      <x:c r="C79" s="32" t="n">
        <x:v>45393</x:v>
      </x:c>
      <x:c r="D79" s="30" t="str">
        <x:v>Intervenção</x:v>
      </x:c>
      <x:c r="E79" s="30" t="str"/>
      <x:c r="F79" s="30" t="str"/>
      <x:c r="G79" s="30" t="str">
        <x:v>Migração de emails para novo alojamento</x:v>
      </x:c>
      <x:c r="H79" s="34" t="str"/>
      <x:c r="I79" s="34" t="n">
        <x:v>8</x:v>
      </x:c>
      <x:c r="J79" s="34" t="n">
        <x:f>IF(B79="","",SUMIFS($H$5:$H$500,$B$5:$B$500,B79,$A$5:$A$500,"&lt;="&amp;A79)-SUMIFS($I$5:$I$500,$B$5:$B$500,B79,$A$5:$A$500,"&lt;="&amp;A79))</x:f>
        <x:v>3.5</x:v>
      </x:c>
      <x:c r="K79" s="30" t="str">
        <x:f>IF(B79="","",IF(J79&lt;=0,"ESGOTADO",IF(J79&lt;=Config!$H$2,"SALDO CRÍTICO",IF(J79&lt;=Config!$H$3,"SALDO BAIXO","OK"))))</x:f>
        <x:v>OK</x:v>
      </x:c>
      <x:c r="L79" s="34" t="str"/>
      <x:c r="M79" s="30" t="str">
        <x:v>EAGLE MAGNATA</x:v>
      </x:c>
    </x:row>
    <x:row r="80">
      <x:c r="A80" s="30" t="n">
        <x:v>76</x:v>
      </x:c>
      <x:c r="B80" s="30" t="str">
        <x:v>EAGLE MAGNATA</x:v>
      </x:c>
      <x:c r="C80" s="32" t="n">
        <x:v>45394</x:v>
      </x:c>
      <x:c r="D80" s="30" t="str">
        <x:v>Intervenção</x:v>
      </x:c>
      <x:c r="E80" s="30" t="str"/>
      <x:c r="F80" s="30" t="str"/>
      <x:c r="G80" s="30" t="str">
        <x:v>Ajuda a Constança com emails demorei um minuto - LL</x:v>
      </x:c>
      <x:c r="H80" s="34" t="str"/>
      <x:c r="I80" s="34" t="n">
        <x:v>0.1</x:v>
      </x:c>
      <x:c r="J80" s="34" t="n">
        <x:f>IF(B80="","",SUMIFS($H$5:$H$500,$B$5:$B$500,B80,$A$5:$A$500,"&lt;="&amp;A80)-SUMIFS($I$5:$I$500,$B$5:$B$500,B80,$A$5:$A$500,"&lt;="&amp;A80))</x:f>
        <x:v>3.3999999999999986</x:v>
      </x:c>
      <x:c r="K80" s="30" t="str">
        <x:f>IF(B80="","",IF(J80&lt;=0,"ESGOTADO",IF(J80&lt;=Config!$H$2,"SALDO CRÍTICO",IF(J80&lt;=Config!$H$3,"SALDO BAIXO","OK"))))</x:f>
        <x:v>OK</x:v>
      </x:c>
      <x:c r="L80" s="34" t="str"/>
      <x:c r="M80" s="30" t="str">
        <x:v>EAGLE MAGNATA</x:v>
      </x:c>
    </x:row>
    <x:row r="81">
      <x:c r="A81" s="30" t="n">
        <x:v>77</x:v>
      </x:c>
      <x:c r="B81" s="30" t="str">
        <x:v>EAGLE MAGNATA</x:v>
      </x:c>
      <x:c r="C81" s="32" t="n">
        <x:v>45532</x:v>
      </x:c>
      <x:c r="D81" s="30" t="str">
        <x:v>Intervenção</x:v>
      </x:c>
      <x:c r="E81" s="30" t="str"/>
      <x:c r="F81" s="30" t="str"/>
      <x:c r="G81" s="30" t="str">
        <x:v>Finalização Hub Novo</x:v>
      </x:c>
      <x:c r="H81" s="34" t="str"/>
      <x:c r="I81" s="34" t="n">
        <x:v>1</x:v>
      </x:c>
      <x:c r="J81" s="34" t="n">
        <x:f>IF(B81="","",SUMIFS($H$5:$H$500,$B$5:$B$500,B81,$A$5:$A$500,"&lt;="&amp;A81)-SUMIFS($I$5:$I$500,$B$5:$B$500,B81,$A$5:$A$500,"&lt;="&amp;A81))</x:f>
        <x:v>2.3999999999999986</x:v>
      </x:c>
      <x:c r="K81" s="30" t="str">
        <x:f>IF(B81="","",IF(J81&lt;=0,"ESGOTADO",IF(J81&lt;=Config!$H$2,"SALDO CRÍTICO",IF(J81&lt;=Config!$H$3,"SALDO BAIXO","OK"))))</x:f>
        <x:v>OK</x:v>
      </x:c>
      <x:c r="L81" s="34" t="str"/>
      <x:c r="M81" s="30" t="str">
        <x:v>EAGLE MAGNATA</x:v>
      </x:c>
    </x:row>
    <x:row r="82">
      <x:c r="A82" s="30" t="n">
        <x:v>78</x:v>
      </x:c>
      <x:c r="B82" s="30" t="str">
        <x:v>EAGLE MAGNATA</x:v>
      </x:c>
      <x:c r="C82" s="32"/>
      <x:c r="D82" s="30" t="str">
        <x:v>Intervenção</x:v>
      </x:c>
      <x:c r="E82" s="30" t="str"/>
      <x:c r="F82" s="30" t="str"/>
      <x:c r="G82" s="30" t="str">
        <x:v>AR Sandra</x:v>
      </x:c>
      <x:c r="H82" s="34" t="str"/>
      <x:c r="I82" s="34" t="n">
        <x:v>1</x:v>
      </x:c>
      <x:c r="J82" s="34" t="n">
        <x:f>IF(B82="","",SUMIFS($H$5:$H$500,$B$5:$B$500,B82,$A$5:$A$500,"&lt;="&amp;A82)-SUMIFS($I$5:$I$500,$B$5:$B$500,B82,$A$5:$A$500,"&lt;="&amp;A82))</x:f>
        <x:v>1.3999999999999986</x:v>
      </x:c>
      <x:c r="K82" s="30" t="str">
        <x:f>IF(B82="","",IF(J82&lt;=0,"ESGOTADO",IF(J82&lt;=Config!$H$2,"SALDO CRÍTICO",IF(J82&lt;=Config!$H$3,"SALDO BAIXO","OK"))))</x:f>
        <x:v>SALDO BAIXO</x:v>
      </x:c>
      <x:c r="L82" s="34" t="str"/>
      <x:c r="M82" s="30" t="str">
        <x:v>EAGLE MAGNATA</x:v>
      </x:c>
    </x:row>
    <x:row r="83">
      <x:c r="A83" s="30" t="n">
        <x:v>79</x:v>
      </x:c>
      <x:c r="B83" s="30" t="str">
        <x:v>EAGLE MAGNATA</x:v>
      </x:c>
      <x:c r="C83" s="32"/>
      <x:c r="D83" s="30" t="str">
        <x:v>Intervenção</x:v>
      </x:c>
      <x:c r="E83" s="30" t="str"/>
      <x:c r="F83" s="30" t="str"/>
      <x:c r="G83" s="30" t="str">
        <x:v>AR Sandra</x:v>
      </x:c>
      <x:c r="H83" s="34" t="str"/>
      <x:c r="I83" s="34" t="n">
        <x:v>0.5</x:v>
      </x:c>
      <x:c r="J83" s="34" t="n">
        <x:f>IF(B83="","",SUMIFS($H$5:$H$500,$B$5:$B$500,B83,$A$5:$A$500,"&lt;="&amp;A83)-SUMIFS($I$5:$I$500,$B$5:$B$500,B83,$A$5:$A$500,"&lt;="&amp;A83))</x:f>
        <x:v>0.8999999999999986</x:v>
      </x:c>
      <x:c r="K83" s="30" t="str">
        <x:f>IF(B83="","",IF(J83&lt;=0,"ESGOTADO",IF(J83&lt;=Config!$H$2,"SALDO CRÍTICO",IF(J83&lt;=Config!$H$3,"SALDO BAIXO","OK"))))</x:f>
        <x:v>SALDO CRÍTICO</x:v>
      </x:c>
      <x:c r="L83" s="34" t="str"/>
      <x:c r="M83" s="30" t="str">
        <x:v>EAGLE MAGNATA</x:v>
      </x:c>
    </x:row>
    <x:row r="84">
      <x:c r="A84" s="30" t="n">
        <x:v>80</x:v>
      </x:c>
      <x:c r="B84" s="30" t="str">
        <x:v>EAGLE MAGNATA</x:v>
      </x:c>
      <x:c r="C84" s="32"/>
      <x:c r="D84" s="30" t="str">
        <x:v>Intervenção</x:v>
      </x:c>
      <x:c r="E84" s="30" t="str"/>
      <x:c r="F84" s="30" t="str"/>
      <x:c r="G84" s="30" t="str">
        <x:v>Config. Hub Novo + Processo Garantia</x:v>
      </x:c>
      <x:c r="H84" s="34" t="str"/>
      <x:c r="I84" s="34" t="n">
        <x:v>1</x:v>
      </x:c>
      <x:c r="J84" s="34" t="n">
        <x:f>IF(B84="","",SUMIFS($H$5:$H$500,$B$5:$B$500,B84,$A$5:$A$500,"&lt;="&amp;A84)-SUMIFS($I$5:$I$500,$B$5:$B$500,B84,$A$5:$A$500,"&lt;="&amp;A84))</x:f>
        <x:v>-0.10000000000000142</x:v>
      </x:c>
      <x:c r="K84" s="30" t="str">
        <x:f>IF(B84="","",IF(J84&lt;=0,"ESGOTADO",IF(J84&lt;=Config!$H$2,"SALDO CRÍTICO",IF(J84&lt;=Config!$H$3,"SALDO BAIXO","OK"))))</x:f>
        <x:v>ESGOTADO</x:v>
      </x:c>
      <x:c r="L84" s="34" t="str"/>
      <x:c r="M84" s="30" t="str">
        <x:v>EAGLE MAGNATA</x:v>
      </x:c>
    </x:row>
    <x:row r="85">
      <x:c r="A85" s="30" t="n">
        <x:v>81</x:v>
      </x:c>
      <x:c r="B85" s="30" t="str">
        <x:v>EAGLE MAGNATA</x:v>
      </x:c>
      <x:c r="C85" s="32"/>
      <x:c r="D85" s="30" t="str">
        <x:v>Intervenção</x:v>
      </x:c>
      <x:c r="E85" s="30" t="str"/>
      <x:c r="F85" s="30" t="str"/>
      <x:c r="G85" s="30" t="str">
        <x:v>reunião remota com Pedro Mendes e Sandra</x:v>
      </x:c>
      <x:c r="H85" s="34" t="str"/>
      <x:c r="I85" s="34" t="n">
        <x:v>0.5</x:v>
      </x:c>
      <x:c r="J85" s="34" t="n">
        <x:f>IF(B85="","",SUMIFS($H$5:$H$500,$B$5:$B$500,B85,$A$5:$A$500,"&lt;="&amp;A85)-SUMIFS($I$5:$I$500,$B$5:$B$500,B85,$A$5:$A$500,"&lt;="&amp;A85))</x:f>
        <x:v>-0.6000000000000014</x:v>
      </x:c>
      <x:c r="K85" s="30" t="str">
        <x:f>IF(B85="","",IF(J85&lt;=0,"ESGOTADO",IF(J85&lt;=Config!$H$2,"SALDO CRÍTICO",IF(J85&lt;=Config!$H$3,"SALDO BAIXO","OK"))))</x:f>
        <x:v>ESGOTADO</x:v>
      </x:c>
      <x:c r="L85" s="34" t="str"/>
      <x:c r="M85" s="30" t="str">
        <x:v>EAGLE MAGNATA</x:v>
      </x:c>
    </x:row>
    <x:row r="86">
      <x:c r="A86" s="30" t="n">
        <x:v>82</x:v>
      </x:c>
      <x:c r="B86" s="30" t="str">
        <x:v>ESTORIL8023</x:v>
      </x:c>
      <x:c r="C86" s="32" t="n">
        <x:v>45719</x:v>
      </x:c>
      <x:c r="D86" s="30" t="str">
        <x:v>Intervenção</x:v>
      </x:c>
      <x:c r="E86" s="30" t="str"/>
      <x:c r="F86" s="30" t="str"/>
      <x:c r="G86" s="30" t="str">
        <x:v>AR Paulo Ramalho pasta no outlook</x:v>
      </x:c>
      <x:c r="H86" s="34" t="str"/>
      <x:c r="I86" s="34" t="n">
        <x:v>0.25</x:v>
      </x:c>
      <x:c r="J86" s="34" t="n">
        <x:f>IF(B86="","",SUMIFS($H$5:$H$500,$B$5:$B$500,B86,$A$5:$A$500,"&lt;="&amp;A86)-SUMIFS($I$5:$I$500,$B$5:$B$500,B86,$A$5:$A$500,"&lt;="&amp;A86))</x:f>
        <x:v>-0.25</x:v>
      </x:c>
      <x:c r="K86" s="30" t="str">
        <x:f>IF(B86="","",IF(J86&lt;=0,"ESGOTADO",IF(J86&lt;=Config!$H$2,"SALDO CRÍTICO",IF(J86&lt;=Config!$H$3,"SALDO BAIXO","OK"))))</x:f>
        <x:v>ESGOTADO</x:v>
      </x:c>
      <x:c r="L86" s="34" t="n">
        <x:v>19.25</x:v>
      </x:c>
      <x:c r="M86" s="30" t="str">
        <x:v>ESTORIL8023</x:v>
      </x:c>
    </x:row>
    <x:row r="87">
      <x:c r="A87" s="30" t="n">
        <x:v>83</x:v>
      </x:c>
      <x:c r="B87" s="30" t="str">
        <x:v>ESTORIL8023</x:v>
      </x:c>
      <x:c r="C87" s="32" t="n">
        <x:v>45721</x:v>
      </x:c>
      <x:c r="D87" s="30" t="str">
        <x:v>Intervenção</x:v>
      </x:c>
      <x:c r="E87" s="30" t="str"/>
      <x:c r="F87" s="30" t="str"/>
      <x:c r="G87" s="30" t="str">
        <x:v>Envio de Passwords de emails (Luis Pais, Marion e PGL)</x:v>
      </x:c>
      <x:c r="H87" s="34" t="str"/>
      <x:c r="I87" s="34" t="n">
        <x:v>0.25</x:v>
      </x:c>
      <x:c r="J87" s="34" t="n">
        <x:f>IF(B87="","",SUMIFS($H$5:$H$500,$B$5:$B$500,B87,$A$5:$A$500,"&lt;="&amp;A87)-SUMIFS($I$5:$I$500,$B$5:$B$500,B87,$A$5:$A$500,"&lt;="&amp;A87))</x:f>
        <x:v>-0.5</x:v>
      </x:c>
      <x:c r="K87" s="30" t="str">
        <x:f>IF(B87="","",IF(J87&lt;=0,"ESGOTADO",IF(J87&lt;=Config!$H$2,"SALDO CRÍTICO",IF(J87&lt;=Config!$H$3,"SALDO BAIXO","OK"))))</x:f>
        <x:v>ESGOTADO</x:v>
      </x:c>
      <x:c r="L87" s="34" t="n">
        <x:v>19</x:v>
      </x:c>
      <x:c r="M87" s="30" t="str">
        <x:v>ESTORIL8023</x:v>
      </x:c>
    </x:row>
    <x:row r="88">
      <x:c r="A88" s="30" t="n">
        <x:v>84</x:v>
      </x:c>
      <x:c r="B88" s="30" t="str">
        <x:v>ESTORIL8023</x:v>
      </x:c>
      <x:c r="C88" s="32" t="n">
        <x:v>45723</x:v>
      </x:c>
      <x:c r="D88" s="30" t="str">
        <x:v>Intervenção</x:v>
      </x:c>
      <x:c r="E88" s="30" t="str"/>
      <x:c r="F88" s="30" t="str"/>
      <x:c r="G88" s="30" t="str">
        <x:v>Config. de 5 Computadores no Local</x:v>
      </x:c>
      <x:c r="H88" s="34" t="str"/>
      <x:c r="I88" s="34" t="n">
        <x:v>3</x:v>
      </x:c>
      <x:c r="J88" s="34" t="n">
        <x:f>IF(B88="","",SUMIFS($H$5:$H$500,$B$5:$B$500,B88,$A$5:$A$500,"&lt;="&amp;A88)-SUMIFS($I$5:$I$500,$B$5:$B$500,B88,$A$5:$A$500,"&lt;="&amp;A88))</x:f>
        <x:v>-3.5</x:v>
      </x:c>
      <x:c r="K88" s="30" t="str">
        <x:f>IF(B88="","",IF(J88&lt;=0,"ESGOTADO",IF(J88&lt;=Config!$H$2,"SALDO CRÍTICO",IF(J88&lt;=Config!$H$3,"SALDO BAIXO","OK"))))</x:f>
        <x:v>ESGOTADO</x:v>
      </x:c>
      <x:c r="L88" s="34" t="n">
        <x:v>16</x:v>
      </x:c>
      <x:c r="M88" s="30" t="str">
        <x:v>ESTORIL8023</x:v>
      </x:c>
    </x:row>
    <x:row r="89">
      <x:c r="A89" s="30" t="n">
        <x:v>85</x:v>
      </x:c>
      <x:c r="B89" s="30" t="str">
        <x:v>ESTORIL8023</x:v>
      </x:c>
      <x:c r="C89" s="32" t="n">
        <x:v>45726</x:v>
      </x:c>
      <x:c r="D89" s="30" t="str">
        <x:v>Compra</x:v>
      </x:c>
      <x:c r="E89" s="30" t="str"/>
      <x:c r="F89" s="30" t="str"/>
      <x:c r="G89" s="30" t="str">
        <x:v>Aquisição Pack 20 Horas</x:v>
      </x:c>
      <x:c r="H89" s="34" t="n">
        <x:v>20</x:v>
      </x:c>
      <x:c r="I89" s="34" t="str"/>
      <x:c r="J89" s="34" t="n">
        <x:f>IF(B89="","",SUMIFS($H$5:$H$500,$B$5:$B$500,B89,$A$5:$A$500,"&lt;="&amp;A89)-SUMIFS($I$5:$I$500,$B$5:$B$500,B89,$A$5:$A$500,"&lt;="&amp;A89))</x:f>
        <x:v>16.5</x:v>
      </x:c>
      <x:c r="K89" s="30" t="str">
        <x:f>IF(B89="","",IF(J89&lt;=0,"ESGOTADO",IF(J89&lt;=Config!$H$2,"SALDO CRÍTICO",IF(J89&lt;=Config!$H$3,"SALDO BAIXO","OK"))))</x:f>
        <x:v>OK</x:v>
      </x:c>
      <x:c r="L89" s="34" t="n">
        <x:v>20</x:v>
      </x:c>
      <x:c r="M89" s="30" t="str">
        <x:v>ESTORIL8023</x:v>
      </x:c>
    </x:row>
    <x:row r="90">
      <x:c r="A90" s="30" t="n">
        <x:v>86</x:v>
      </x:c>
      <x:c r="B90" s="30" t="str">
        <x:v>ESTORIL8023</x:v>
      </x:c>
      <x:c r="C90" s="32" t="n">
        <x:v>45729</x:v>
      </x:c>
      <x:c r="D90" s="30" t="str">
        <x:v>Intervenção</x:v>
      </x:c>
      <x:c r="E90" s="30" t="str"/>
      <x:c r="F90" s="30" t="str"/>
      <x:c r="G90" s="30" t="str">
        <x:v>Config. Acesso a 2 pastas para T.Ricciardi pedido por Marion</x:v>
      </x:c>
      <x:c r="H90" s="34" t="str"/>
      <x:c r="I90" s="34" t="n">
        <x:v>0.25</x:v>
      </x:c>
      <x:c r="J90" s="34" t="n">
        <x:f>IF(B90="","",SUMIFS($H$5:$H$500,$B$5:$B$500,B90,$A$5:$A$500,"&lt;="&amp;A90)-SUMIFS($I$5:$I$500,$B$5:$B$500,B90,$A$5:$A$500,"&lt;="&amp;A90))</x:f>
        <x:v>16.25</x:v>
      </x:c>
      <x:c r="K90" s="30" t="str">
        <x:f>IF(B90="","",IF(J90&lt;=0,"ESGOTADO",IF(J90&lt;=Config!$H$2,"SALDO CRÍTICO",IF(J90&lt;=Config!$H$3,"SALDO BAIXO","OK"))))</x:f>
        <x:v>OK</x:v>
      </x:c>
      <x:c r="L90" s="34" t="n">
        <x:v>15.75</x:v>
      </x:c>
      <x:c r="M90" s="30" t="str">
        <x:v>ESTORIL8023</x:v>
      </x:c>
    </x:row>
    <x:row r="91">
      <x:c r="A91" s="30" t="n">
        <x:v>87</x:v>
      </x:c>
      <x:c r="B91" s="30" t="str">
        <x:v>ESTORIL8023</x:v>
      </x:c>
      <x:c r="C91" s="32" t="n">
        <x:v>45748</x:v>
      </x:c>
      <x:c r="D91" s="30" t="str">
        <x:v>Intervenção</x:v>
      </x:c>
      <x:c r="E91" s="30" t="str"/>
      <x:c r="F91" s="30" t="str"/>
      <x:c r="G91" s="30" t="str">
        <x:v>Migracao Presencial de 4 contas email da Estoril para Living</x:v>
      </x:c>
      <x:c r="H91" s="34" t="str"/>
      <x:c r="I91" s="34" t="n">
        <x:v>3.5</x:v>
      </x:c>
      <x:c r="J91" s="34" t="n">
        <x:f>IF(B91="","",SUMIFS($H$5:$H$500,$B$5:$B$500,B91,$A$5:$A$500,"&lt;="&amp;A91)-SUMIFS($I$5:$I$500,$B$5:$B$500,B91,$A$5:$A$500,"&lt;="&amp;A91))</x:f>
        <x:v>12.75</x:v>
      </x:c>
      <x:c r="K91" s="30" t="str">
        <x:f>IF(B91="","",IF(J91&lt;=0,"ESGOTADO",IF(J91&lt;=Config!$H$2,"SALDO CRÍTICO",IF(J91&lt;=Config!$H$3,"SALDO BAIXO","OK"))))</x:f>
        <x:v>OK</x:v>
      </x:c>
      <x:c r="L91" s="34" t="n">
        <x:v>12.25</x:v>
      </x:c>
      <x:c r="M91" s="30" t="str">
        <x:v>ESTORIL8023</x:v>
      </x:c>
    </x:row>
    <x:row r="92">
      <x:c r="A92" s="30" t="n">
        <x:v>88</x:v>
      </x:c>
      <x:c r="B92" s="30" t="str">
        <x:v>ESTORIL8023</x:v>
      </x:c>
      <x:c r="C92" s="32" t="n">
        <x:v>45756</x:v>
      </x:c>
      <x:c r="D92" s="30" t="str">
        <x:v>Intervenção</x:v>
      </x:c>
      <x:c r="E92" s="30" t="str"/>
      <x:c r="F92" s="30" t="str"/>
      <x:c r="G92" s="30" t="str">
        <x:v>Migracao emails AR Marion</x:v>
      </x:c>
      <x:c r="H92" s="34" t="str"/>
      <x:c r="I92" s="34" t="n">
        <x:v>1</x:v>
      </x:c>
      <x:c r="J92" s="34" t="n">
        <x:f>IF(B92="","",SUMIFS($H$5:$H$500,$B$5:$B$500,B92,$A$5:$A$500,"&lt;="&amp;A92)-SUMIFS($I$5:$I$500,$B$5:$B$500,B92,$A$5:$A$500,"&lt;="&amp;A92))</x:f>
        <x:v>11.75</x:v>
      </x:c>
      <x:c r="K92" s="30" t="str">
        <x:f>IF(B92="","",IF(J92&lt;=0,"ESGOTADO",IF(J92&lt;=Config!$H$2,"SALDO CRÍTICO",IF(J92&lt;=Config!$H$3,"SALDO BAIXO","OK"))))</x:f>
        <x:v>OK</x:v>
      </x:c>
      <x:c r="L92" s="34" t="n">
        <x:v>11.25</x:v>
      </x:c>
      <x:c r="M92" s="30" t="str">
        <x:v>ESTORIL8023</x:v>
      </x:c>
    </x:row>
    <x:row r="93">
      <x:c r="A93" s="30" t="n">
        <x:v>89</x:v>
      </x:c>
      <x:c r="B93" s="30" t="str">
        <x:v>ESTORIL8023</x:v>
      </x:c>
      <x:c r="C93" s="32" t="n">
        <x:v>45758</x:v>
      </x:c>
      <x:c r="D93" s="30" t="str">
        <x:v>Intervenção</x:v>
      </x:c>
      <x:c r="E93" s="30" t="str"/>
      <x:c r="F93" s="30" t="str"/>
      <x:c r="G93" s="30" t="str">
        <x:v>Migração Emails Paulo Ramalho</x:v>
      </x:c>
      <x:c r="H93" s="34" t="str"/>
      <x:c r="I93" s="34" t="n">
        <x:v>0.5</x:v>
      </x:c>
      <x:c r="J93" s="34" t="n">
        <x:f>IF(B93="","",SUMIFS($H$5:$H$500,$B$5:$B$500,B93,$A$5:$A$500,"&lt;="&amp;A93)-SUMIFS($I$5:$I$500,$B$5:$B$500,B93,$A$5:$A$500,"&lt;="&amp;A93))</x:f>
        <x:v>11.25</x:v>
      </x:c>
      <x:c r="K93" s="30" t="str">
        <x:f>IF(B93="","",IF(J93&lt;=0,"ESGOTADO",IF(J93&lt;=Config!$H$2,"SALDO CRÍTICO",IF(J93&lt;=Config!$H$3,"SALDO BAIXO","OK"))))</x:f>
        <x:v>OK</x:v>
      </x:c>
      <x:c r="L93" s="34" t="n">
        <x:v>10.75</x:v>
      </x:c>
      <x:c r="M93" s="30" t="str">
        <x:v>ESTORIL8023</x:v>
      </x:c>
    </x:row>
    <x:row r="94">
      <x:c r="A94" s="30" t="n">
        <x:v>90</x:v>
      </x:c>
      <x:c r="B94" s="30" t="str">
        <x:v>ESTORIL8023</x:v>
      </x:c>
      <x:c r="C94" s="32" t="n">
        <x:v>45779</x:v>
      </x:c>
      <x:c r="D94" s="30" t="str">
        <x:v>Intervenção</x:v>
      </x:c>
      <x:c r="E94" s="30" t="str"/>
      <x:c r="F94" s="30" t="str"/>
      <x:c r="G94" s="30" t="str">
        <x:v>Configuração de email LGL tudo para Google e backup sostate</x:v>
      </x:c>
      <x:c r="H94" s="34" t="str"/>
      <x:c r="I94" s="34" t="n">
        <x:v>1</x:v>
      </x:c>
      <x:c r="J94" s="34" t="n">
        <x:f>IF(B94="","",SUMIFS($H$5:$H$500,$B$5:$B$500,B94,$A$5:$A$500,"&lt;="&amp;A94)-SUMIFS($I$5:$I$500,$B$5:$B$500,B94,$A$5:$A$500,"&lt;="&amp;A94))</x:f>
        <x:v>10.25</x:v>
      </x:c>
      <x:c r="K94" s="30" t="str">
        <x:f>IF(B94="","",IF(J94&lt;=0,"ESGOTADO",IF(J94&lt;=Config!$H$2,"SALDO CRÍTICO",IF(J94&lt;=Config!$H$3,"SALDO BAIXO","OK"))))</x:f>
        <x:v>OK</x:v>
      </x:c>
      <x:c r="L94" s="34" t="n">
        <x:v>9.75</x:v>
      </x:c>
      <x:c r="M94" s="30" t="str">
        <x:v>ESTORIL8023</x:v>
      </x:c>
    </x:row>
    <x:row r="95">
      <x:c r="A95" s="30" t="n">
        <x:v>91</x:v>
      </x:c>
      <x:c r="B95" s="30" t="str">
        <x:v>ESTORIL8023</x:v>
      </x:c>
      <x:c r="C95" s="32" t="n">
        <x:v>45813</x:v>
      </x:c>
      <x:c r="D95" s="30" t="str">
        <x:v>Intervenção</x:v>
      </x:c>
      <x:c r="E95" s="30" t="str"/>
      <x:c r="F95" s="30" t="str"/>
      <x:c r="G95" s="30" t="str">
        <x:v>Instalação impressora nova Sandra</x:v>
      </x:c>
      <x:c r="H95" s="34" t="str"/>
      <x:c r="I95" s="34" t="n">
        <x:v>0.25</x:v>
      </x:c>
      <x:c r="J95" s="34" t="n">
        <x:f>IF(B95="","",SUMIFS($H$5:$H$500,$B$5:$B$500,B95,$A$5:$A$500,"&lt;="&amp;A95)-SUMIFS($I$5:$I$500,$B$5:$B$500,B95,$A$5:$A$500,"&lt;="&amp;A95))</x:f>
        <x:v>10</x:v>
      </x:c>
      <x:c r="K95" s="30" t="str">
        <x:f>IF(B95="","",IF(J95&lt;=0,"ESGOTADO",IF(J95&lt;=Config!$H$2,"SALDO CRÍTICO",IF(J95&lt;=Config!$H$3,"SALDO BAIXO","OK"))))</x:f>
        <x:v>OK</x:v>
      </x:c>
      <x:c r="L95" s="34" t="n">
        <x:v>9.5</x:v>
      </x:c>
      <x:c r="M95" s="30" t="str">
        <x:v>ESTORIL8023</x:v>
      </x:c>
    </x:row>
    <x:row r="96">
      <x:c r="A96" s="30" t="n">
        <x:v>92</x:v>
      </x:c>
      <x:c r="B96" s="30" t="str">
        <x:v>ESTORIL8023</x:v>
      </x:c>
      <x:c r="C96" s="32" t="n">
        <x:v>45826</x:v>
      </x:c>
      <x:c r="D96" s="30" t="str">
        <x:v>Intervenção</x:v>
      </x:c>
      <x:c r="E96" s="30" t="str"/>
      <x:c r="F96" s="30" t="str"/>
      <x:c r="G96" s="30" t="str">
        <x:v>AR Marion problema com outlook</x:v>
      </x:c>
      <x:c r="H96" s="34" t="str"/>
      <x:c r="I96" s="34" t="n">
        <x:v>0.25</x:v>
      </x:c>
      <x:c r="J96" s="34" t="n">
        <x:f>IF(B96="","",SUMIFS($H$5:$H$500,$B$5:$B$500,B96,$A$5:$A$500,"&lt;="&amp;A96)-SUMIFS($I$5:$I$500,$B$5:$B$500,B96,$A$5:$A$500,"&lt;="&amp;A96))</x:f>
        <x:v>9.75</x:v>
      </x:c>
      <x:c r="K96" s="30" t="str">
        <x:f>IF(B96="","",IF(J96&lt;=0,"ESGOTADO",IF(J96&lt;=Config!$H$2,"SALDO CRÍTICO",IF(J96&lt;=Config!$H$3,"SALDO BAIXO","OK"))))</x:f>
        <x:v>OK</x:v>
      </x:c>
      <x:c r="L96" s="34" t="n">
        <x:v>9.25</x:v>
      </x:c>
      <x:c r="M96" s="30" t="str">
        <x:v>ESTORIL8023</x:v>
      </x:c>
    </x:row>
    <x:row r="97">
      <x:c r="A97" s="30" t="n">
        <x:v>93</x:v>
      </x:c>
      <x:c r="B97" s="30" t="str">
        <x:v>ESTORIL8023</x:v>
      </x:c>
      <x:c r="C97" s="32" t="n">
        <x:v>45845</x:v>
      </x:c>
      <x:c r="D97" s="30" t="str">
        <x:v>Intervenção</x:v>
      </x:c>
      <x:c r="E97" s="30" t="str"/>
      <x:c r="F97" s="30" t="str"/>
      <x:c r="G97" s="30" t="str">
        <x:v>AR Paulo Ramalho Acesso pasta partilhada e impressora</x:v>
      </x:c>
      <x:c r="H97" s="34" t="str"/>
      <x:c r="I97" s="34" t="n">
        <x:v>0.25</x:v>
      </x:c>
      <x:c r="J97" s="34" t="n">
        <x:f>IF(B97="","",SUMIFS($H$5:$H$500,$B$5:$B$500,B97,$A$5:$A$500,"&lt;="&amp;A97)-SUMIFS($I$5:$I$500,$B$5:$B$500,B97,$A$5:$A$500,"&lt;="&amp;A97))</x:f>
        <x:v>9.5</x:v>
      </x:c>
      <x:c r="K97" s="30" t="str">
        <x:f>IF(B97="","",IF(J97&lt;=0,"ESGOTADO",IF(J97&lt;=Config!$H$2,"SALDO CRÍTICO",IF(J97&lt;=Config!$H$3,"SALDO BAIXO","OK"))))</x:f>
        <x:v>OK</x:v>
      </x:c>
      <x:c r="L97" s="34" t="n">
        <x:v>9</x:v>
      </x:c>
      <x:c r="M97" s="30" t="str">
        <x:v>ESTORIL8023</x:v>
      </x:c>
    </x:row>
    <x:row r="98">
      <x:c r="A98" s="30" t="n">
        <x:v>94</x:v>
      </x:c>
      <x:c r="B98" s="30" t="str">
        <x:v>ESTORIL8023</x:v>
      </x:c>
      <x:c r="C98" s="32" t="n">
        <x:v>45846</x:v>
      </x:c>
      <x:c r="D98" s="30" t="str">
        <x:v>Intervenção</x:v>
      </x:c>
      <x:c r="E98" s="30" t="str"/>
      <x:c r="F98" s="30" t="str"/>
      <x:c r="G98" s="30" t="str">
        <x:v>WiFi 5G nao funcionava, reset remoto realizado</x:v>
      </x:c>
      <x:c r="H98" s="34" t="str"/>
      <x:c r="I98" s="34" t="n">
        <x:v>0.5</x:v>
      </x:c>
      <x:c r="J98" s="34" t="n">
        <x:f>IF(B98="","",SUMIFS($H$5:$H$500,$B$5:$B$500,B98,$A$5:$A$500,"&lt;="&amp;A98)-SUMIFS($I$5:$I$500,$B$5:$B$500,B98,$A$5:$A$500,"&lt;="&amp;A98))</x:f>
        <x:v>9</x:v>
      </x:c>
      <x:c r="K98" s="30" t="str">
        <x:f>IF(B98="","",IF(J98&lt;=0,"ESGOTADO",IF(J98&lt;=Config!$H$2,"SALDO CRÍTICO",IF(J98&lt;=Config!$H$3,"SALDO BAIXO","OK"))))</x:f>
        <x:v>OK</x:v>
      </x:c>
      <x:c r="L98" s="34" t="n">
        <x:v>8.5</x:v>
      </x:c>
      <x:c r="M98" s="30" t="str">
        <x:v>ESTORIL8023</x:v>
      </x:c>
    </x:row>
    <x:row r="99">
      <x:c r="A99" s="30" t="n">
        <x:v>95</x:v>
      </x:c>
      <x:c r="B99" s="30" t="str">
        <x:v>ESTORIL8023</x:v>
      </x:c>
      <x:c r="C99" s="32" t="n">
        <x:v>45852</x:v>
      </x:c>
      <x:c r="D99" s="30" t="str">
        <x:v>Intervenção</x:v>
      </x:c>
      <x:c r="E99" s="30" t="str"/>
      <x:c r="F99" s="30" t="str"/>
      <x:c r="G99" s="30" t="str">
        <x:v>AR Diogo Gaspar Contas no Outlook</x:v>
      </x:c>
      <x:c r="H99" s="34" t="str"/>
      <x:c r="I99" s="34" t="n">
        <x:v>0.5</x:v>
      </x:c>
      <x:c r="J99" s="34" t="n">
        <x:f>IF(B99="","",SUMIFS($H$5:$H$500,$B$5:$B$500,B99,$A$5:$A$500,"&lt;="&amp;A99)-SUMIFS($I$5:$I$500,$B$5:$B$500,B99,$A$5:$A$500,"&lt;="&amp;A99))</x:f>
        <x:v>8.5</x:v>
      </x:c>
      <x:c r="K99" s="30" t="str">
        <x:f>IF(B99="","",IF(J99&lt;=0,"ESGOTADO",IF(J99&lt;=Config!$H$2,"SALDO CRÍTICO",IF(J99&lt;=Config!$H$3,"SALDO BAIXO","OK"))))</x:f>
        <x:v>OK</x:v>
      </x:c>
      <x:c r="L99" s="34" t="n">
        <x:v>8</x:v>
      </x:c>
      <x:c r="M99" s="30" t="str">
        <x:v>ESTORIL8023</x:v>
      </x:c>
    </x:row>
    <x:row r="100">
      <x:c r="A100" s="30" t="n">
        <x:v>96</x:v>
      </x:c>
      <x:c r="B100" s="30" t="str">
        <x:v>ESTORIL8023</x:v>
      </x:c>
      <x:c r="C100" s="32" t="n">
        <x:v>45862</x:v>
      </x:c>
      <x:c r="D100" s="30" t="str">
        <x:v>Intervenção</x:v>
      </x:c>
      <x:c r="E100" s="30" t="str"/>
      <x:c r="F100" s="30" t="str"/>
      <x:c r="G100" s="30" t="str">
        <x:v>Clone Portátil Marion para novo e entrega</x:v>
      </x:c>
      <x:c r="H100" s="34" t="str"/>
      <x:c r="I100" s="34" t="n">
        <x:v>2.75</x:v>
      </x:c>
      <x:c r="J100" s="34" t="n">
        <x:f>IF(B100="","",SUMIFS($H$5:$H$500,$B$5:$B$500,B100,$A$5:$A$500,"&lt;="&amp;A100)-SUMIFS($I$5:$I$500,$B$5:$B$500,B100,$A$5:$A$500,"&lt;="&amp;A100))</x:f>
        <x:v>5.75</x:v>
      </x:c>
      <x:c r="K100" s="30" t="str">
        <x:f>IF(B100="","",IF(J100&lt;=0,"ESGOTADO",IF(J100&lt;=Config!$H$2,"SALDO CRÍTICO",IF(J100&lt;=Config!$H$3,"SALDO BAIXO","OK"))))</x:f>
        <x:v>OK</x:v>
      </x:c>
      <x:c r="L100" s="34" t="n">
        <x:v>6.25</x:v>
      </x:c>
      <x:c r="M100" s="30" t="str">
        <x:v>ESTORIL8023</x:v>
      </x:c>
    </x:row>
    <x:row r="101">
      <x:c r="A101" s="30" t="n">
        <x:v>97</x:v>
      </x:c>
      <x:c r="B101" s="30" t="str">
        <x:v>ESTORIL8023</x:v>
      </x:c>
      <x:c r="C101" s="32" t="n">
        <x:v>45887</x:v>
      </x:c>
      <x:c r="D101" s="30" t="str">
        <x:v>Intervenção</x:v>
      </x:c>
      <x:c r="E101" s="30" t="str"/>
      <x:c r="F101" s="30" t="str"/>
      <x:c r="G101" s="30" t="str">
        <x:v>AR Diogo Gaspar - Outlook nos 2 pc nao sincroniza</x:v>
      </x:c>
      <x:c r="H101" s="34" t="str"/>
      <x:c r="I101" s="34" t="n">
        <x:v>0.5</x:v>
      </x:c>
      <x:c r="J101" s="34" t="n">
        <x:f>IF(B101="","",SUMIFS($H$5:$H$500,$B$5:$B$500,B101,$A$5:$A$500,"&lt;="&amp;A101)-SUMIFS($I$5:$I$500,$B$5:$B$500,B101,$A$5:$A$500,"&lt;="&amp;A101))</x:f>
        <x:v>5.25</x:v>
      </x:c>
      <x:c r="K101" s="30" t="str">
        <x:f>IF(B101="","",IF(J101&lt;=0,"ESGOTADO",IF(J101&lt;=Config!$H$2,"SALDO CRÍTICO",IF(J101&lt;=Config!$H$3,"SALDO BAIXO","OK"))))</x:f>
        <x:v>OK</x:v>
      </x:c>
      <x:c r="L101" s="34" t="n">
        <x:v>5.75</x:v>
      </x:c>
      <x:c r="M101" s="30" t="str">
        <x:v>ESTORIL8023</x:v>
      </x:c>
    </x:row>
    <x:row r="102">
      <x:c r="A102" s="30" t="n">
        <x:v>98</x:v>
      </x:c>
      <x:c r="B102" s="30" t="str">
        <x:v>ESTORIL8023</x:v>
      </x:c>
      <x:c r="C102" s="32" t="n">
        <x:v>45957</x:v>
      </x:c>
      <x:c r="D102" s="30" t="str">
        <x:v>Intervenção</x:v>
      </x:c>
      <x:c r="E102" s="30" t="str"/>
      <x:c r="F102" s="30" t="str"/>
      <x:c r="G102" s="30" t="str">
        <x:v>AR Rita Albino sobre acesso a servidor Sostate</x:v>
      </x:c>
      <x:c r="H102" s="34" t="str"/>
      <x:c r="I102" s="34" t="n">
        <x:v>0.5</x:v>
      </x:c>
      <x:c r="J102" s="34" t="n">
        <x:f>IF(B102="","",SUMIFS($H$5:$H$500,$B$5:$B$500,B102,$A$5:$A$500,"&lt;="&amp;A102)-SUMIFS($I$5:$I$500,$B$5:$B$500,B102,$A$5:$A$500,"&lt;="&amp;A102))</x:f>
        <x:v>4.75</x:v>
      </x:c>
      <x:c r="K102" s="30" t="str">
        <x:f>IF(B102="","",IF(J102&lt;=0,"ESGOTADO",IF(J102&lt;=Config!$H$2,"SALDO CRÍTICO",IF(J102&lt;=Config!$H$3,"SALDO BAIXO","OK"))))</x:f>
        <x:v>OK</x:v>
      </x:c>
      <x:c r="L102" s="34" t="n">
        <x:v>5.25</x:v>
      </x:c>
      <x:c r="M102" s="30" t="str">
        <x:v>ESTORIL8023</x:v>
      </x:c>
    </x:row>
    <x:row r="103">
      <x:c r="A103" s="30" t="n">
        <x:v>99</x:v>
      </x:c>
      <x:c r="B103" s="30" t="str">
        <x:v>ESTORIL8023</x:v>
      </x:c>
      <x:c r="C103" s="32"/>
      <x:c r="D103" s="30" t="str">
        <x:v>Intervenção</x:v>
      </x:c>
      <x:c r="E103" s="30" t="str"/>
      <x:c r="F103" s="30" t="str"/>
      <x:c r="G103" s="30" t="str">
        <x:v>AR Diogo Gaspar Contas no Outlook 13/02/2025</x:v>
      </x:c>
      <x:c r="H103" s="34" t="str"/>
      <x:c r="I103" s="34" t="n">
        <x:v>0.5</x:v>
      </x:c>
      <x:c r="J103" s="34" t="n">
        <x:f>IF(B103="","",SUMIFS($H$5:$H$500,$B$5:$B$500,B103,$A$5:$A$500,"&lt;="&amp;A103)-SUMIFS($I$5:$I$500,$B$5:$B$500,B103,$A$5:$A$500,"&lt;="&amp;A103))</x:f>
        <x:v>4.25</x:v>
      </x:c>
      <x:c r="K103" s="30" t="str">
        <x:f>IF(B103="","",IF(J103&lt;=0,"ESGOTADO",IF(J103&lt;=Config!$H$2,"SALDO CRÍTICO",IF(J103&lt;=Config!$H$3,"SALDO BAIXO","OK"))))</x:f>
        <x:v>OK</x:v>
      </x:c>
      <x:c r="L103" s="34" t="n">
        <x:v>19.5</x:v>
      </x:c>
      <x:c r="M103" s="30" t="str">
        <x:v>ESTORIL8023</x:v>
      </x:c>
    </x:row>
    <x:row r="104">
      <x:c r="A104" s="30" t="n">
        <x:v>100</x:v>
      </x:c>
      <x:c r="B104" s="30" t="str">
        <x:v>FILIPA ROQUETTE - Sociedade Unipessoal Lda</x:v>
      </x:c>
      <x:c r="C104" s="32" t="n">
        <x:v>45254</x:v>
      </x:c>
      <x:c r="D104" s="30" t="str">
        <x:v>Compra</x:v>
      </x:c>
      <x:c r="E104" s="30" t="str"/>
      <x:c r="F104" s="30" t="str"/>
      <x:c r="G104" s="30" t="str">
        <x:v>Aquisição Pack 5 Horas</x:v>
      </x:c>
      <x:c r="H104" s="34" t="n">
        <x:v>5</x:v>
      </x:c>
      <x:c r="I104" s="34" t="str"/>
      <x:c r="J104" s="34" t="n">
        <x:f>IF(B104="","",SUMIFS($H$5:$H$500,$B$5:$B$500,B104,$A$5:$A$500,"&lt;="&amp;A104)-SUMIFS($I$5:$I$500,$B$5:$B$500,B104,$A$5:$A$500,"&lt;="&amp;A104))</x:f>
        <x:v>5</x:v>
      </x:c>
      <x:c r="K104" s="30" t="str">
        <x:f>IF(B104="","",IF(J104&lt;=0,"ESGOTADO",IF(J104&lt;=Config!$H$2,"SALDO CRÍTICO",IF(J104&lt;=Config!$H$3,"SALDO BAIXO","OK"))))</x:f>
        <x:v>OK</x:v>
      </x:c>
      <x:c r="L104" s="34" t="n">
        <x:v>5</x:v>
      </x:c>
      <x:c r="M104" s="30" t="str">
        <x:v>Filipa Roquette - Sociedade Uni</x:v>
      </x:c>
    </x:row>
    <x:row r="105">
      <x:c r="A105" s="30" t="n">
        <x:v>101</x:v>
      </x:c>
      <x:c r="B105" s="30" t="str">
        <x:v>FILIPA ROQUETTE - Sociedade Unipessoal Lda</x:v>
      </x:c>
      <x:c r="C105" s="32" t="n">
        <x:v>45254</x:v>
      </x:c>
      <x:c r="D105" s="30" t="str">
        <x:v>Intervenção</x:v>
      </x:c>
      <x:c r="E105" s="30" t="str">
        <x:v>Filipa Roquette</x:v>
      </x:c>
      <x:c r="F105" s="30" t="str">
        <x:v>ClickStop</x:v>
      </x:c>
      <x:c r="G105" s="30" t="str">
        <x:v>Reunião na loja</x:v>
      </x:c>
      <x:c r="H105" s="34" t="str"/>
      <x:c r="I105" s="34" t="n">
        <x:v>1.25</x:v>
      </x:c>
      <x:c r="J105" s="34" t="n">
        <x:f>IF(B105="","",SUMIFS($H$5:$H$500,$B$5:$B$500,B105,$A$5:$A$500,"&lt;="&amp;A105)-SUMIFS($I$5:$I$500,$B$5:$B$500,B105,$A$5:$A$500,"&lt;="&amp;A105))</x:f>
        <x:v>3.75</x:v>
      </x:c>
      <x:c r="K105" s="30" t="str">
        <x:f>IF(B105="","",IF(J105&lt;=0,"ESGOTADO",IF(J105&lt;=Config!$H$2,"SALDO CRÍTICO",IF(J105&lt;=Config!$H$3,"SALDO BAIXO","OK"))))</x:f>
        <x:v>OK</x:v>
      </x:c>
      <x:c r="L105" s="34" t="n">
        <x:v>3.75</x:v>
      </x:c>
      <x:c r="M105" s="30" t="str">
        <x:v>Filipa Roquette - Sociedade Uni</x:v>
      </x:c>
    </x:row>
    <x:row r="106">
      <x:c r="A106" s="30" t="n">
        <x:v>102</x:v>
      </x:c>
      <x:c r="B106" s="30" t="str">
        <x:v>FILIPA ROQUETTE - Sociedade Unipessoal Lda</x:v>
      </x:c>
      <x:c r="C106" s="32" t="n">
        <x:v>45317</x:v>
      </x:c>
      <x:c r="D106" s="30" t="str">
        <x:v>Intervenção</x:v>
      </x:c>
      <x:c r="E106" s="30" t="str">
        <x:v>Filipa Roquette</x:v>
      </x:c>
      <x:c r="F106" s="30" t="str">
        <x:v>ClickStop</x:v>
      </x:c>
      <x:c r="G106" s="30" t="str">
        <x:v>Assistência Remota com Carolina sobre impressora</x:v>
      </x:c>
      <x:c r="H106" s="34" t="str"/>
      <x:c r="I106" s="34" t="n">
        <x:v>0.25</x:v>
      </x:c>
      <x:c r="J106" s="34" t="n">
        <x:f>IF(B106="","",SUMIFS($H$5:$H$500,$B$5:$B$500,B106,$A$5:$A$500,"&lt;="&amp;A106)-SUMIFS($I$5:$I$500,$B$5:$B$500,B106,$A$5:$A$500,"&lt;="&amp;A106))</x:f>
        <x:v>3.5</x:v>
      </x:c>
      <x:c r="K106" s="30" t="str">
        <x:f>IF(B106="","",IF(J106&lt;=0,"ESGOTADO",IF(J106&lt;=Config!$H$2,"SALDO CRÍTICO",IF(J106&lt;=Config!$H$3,"SALDO BAIXO","OK"))))</x:f>
        <x:v>OK</x:v>
      </x:c>
      <x:c r="L106" s="34" t="n">
        <x:v>3.5</x:v>
      </x:c>
      <x:c r="M106" s="30" t="str">
        <x:v>Filipa Roquette - Sociedade Uni</x:v>
      </x:c>
    </x:row>
    <x:row r="107">
      <x:c r="A107" s="30" t="n">
        <x:v>103</x:v>
      </x:c>
      <x:c r="B107" s="30" t="str">
        <x:v>FILIPA ROQUETTE - Sociedade Unipessoal Lda</x:v>
      </x:c>
      <x:c r="C107" s="32" t="n">
        <x:v>45322</x:v>
      </x:c>
      <x:c r="D107" s="30" t="str">
        <x:v>Intervenção</x:v>
      </x:c>
      <x:c r="E107" s="30" t="str">
        <x:v>Filipa Roquette</x:v>
      </x:c>
      <x:c r="F107" s="30" t="str">
        <x:v>ClickStop</x:v>
      </x:c>
      <x:c r="G107" s="30" t="str">
        <x:v>Assistência Remota com Filipa no Macbook</x:v>
      </x:c>
      <x:c r="H107" s="34" t="str"/>
      <x:c r="I107" s="34" t="n">
        <x:v>0.5</x:v>
      </x:c>
      <x:c r="J107" s="34" t="n">
        <x:f>IF(B107="","",SUMIFS($H$5:$H$500,$B$5:$B$500,B107,$A$5:$A$500,"&lt;="&amp;A107)-SUMIFS($I$5:$I$500,$B$5:$B$500,B107,$A$5:$A$500,"&lt;="&amp;A107))</x:f>
        <x:v>3</x:v>
      </x:c>
      <x:c r="K107" s="30" t="str">
        <x:f>IF(B107="","",IF(J107&lt;=0,"ESGOTADO",IF(J107&lt;=Config!$H$2,"SALDO CRÍTICO",IF(J107&lt;=Config!$H$3,"SALDO BAIXO","OK"))))</x:f>
        <x:v>OK</x:v>
      </x:c>
      <x:c r="L107" s="34" t="n">
        <x:v>3</x:v>
      </x:c>
      <x:c r="M107" s="30" t="str">
        <x:v>Filipa Roquette - Sociedade Uni</x:v>
      </x:c>
    </x:row>
    <x:row r="108">
      <x:c r="A108" s="30" t="n">
        <x:v>104</x:v>
      </x:c>
      <x:c r="B108" s="30" t="str">
        <x:v>FILIPA ROQUETTE - Sociedade Unipessoal Lda</x:v>
      </x:c>
      <x:c r="C108" s="32" t="n">
        <x:v>45373</x:v>
      </x:c>
      <x:c r="D108" s="30" t="str">
        <x:v>Intervenção</x:v>
      </x:c>
      <x:c r="E108" s="30" t="str">
        <x:v>Filipa Roquette</x:v>
      </x:c>
      <x:c r="F108" s="30" t="str">
        <x:v>ClickStop</x:v>
      </x:c>
      <x:c r="G108" s="30" t="str">
        <x:v>Assistência Remota com Carolina &amp; Filipa</x:v>
      </x:c>
      <x:c r="H108" s="34" t="str"/>
      <x:c r="I108" s="34" t="n">
        <x:v>0.5</x:v>
      </x:c>
      <x:c r="J108" s="34" t="n">
        <x:f>IF(B108="","",SUMIFS($H$5:$H$500,$B$5:$B$500,B108,$A$5:$A$500,"&lt;="&amp;A108)-SUMIFS($I$5:$I$500,$B$5:$B$500,B108,$A$5:$A$500,"&lt;="&amp;A108))</x:f>
        <x:v>2.5</x:v>
      </x:c>
      <x:c r="K108" s="30" t="str">
        <x:f>IF(B108="","",IF(J108&lt;=0,"ESGOTADO",IF(J108&lt;=Config!$H$2,"SALDO CRÍTICO",IF(J108&lt;=Config!$H$3,"SALDO BAIXO","OK"))))</x:f>
        <x:v>OK</x:v>
      </x:c>
      <x:c r="L108" s="34" t="n">
        <x:v>2.5</x:v>
      </x:c>
      <x:c r="M108" s="30" t="str">
        <x:v>Filipa Roquette - Sociedade Uni</x:v>
      </x:c>
    </x:row>
    <x:row r="109">
      <x:c r="A109" s="30" t="n">
        <x:v>105</x:v>
      </x:c>
      <x:c r="B109" s="30" t="str">
        <x:v>FILIPA ROQUETTE - Sociedade Unipessoal Lda</x:v>
      </x:c>
      <x:c r="C109" s="32" t="n">
        <x:v>45412</x:v>
      </x:c>
      <x:c r="D109" s="30" t="str">
        <x:v>Intervenção</x:v>
      </x:c>
      <x:c r="E109" s="30" t="str">
        <x:v>Filipa Roquette</x:v>
      </x:c>
      <x:c r="F109" s="30" t="str">
        <x:v>ClickStop</x:v>
      </x:c>
      <x:c r="G109" s="30" t="str">
        <x:v>Assistência Remota com Filipa no Macbook</x:v>
      </x:c>
      <x:c r="H109" s="34" t="str"/>
      <x:c r="I109" s="34" t="n">
        <x:v>0.25</x:v>
      </x:c>
      <x:c r="J109" s="34" t="n">
        <x:f>IF(B109="","",SUMIFS($H$5:$H$500,$B$5:$B$500,B109,$A$5:$A$500,"&lt;="&amp;A109)-SUMIFS($I$5:$I$500,$B$5:$B$500,B109,$A$5:$A$500,"&lt;="&amp;A109))</x:f>
        <x:v>2.25</x:v>
      </x:c>
      <x:c r="K109" s="30" t="str">
        <x:f>IF(B109="","",IF(J109&lt;=0,"ESGOTADO",IF(J109&lt;=Config!$H$2,"SALDO CRÍTICO",IF(J109&lt;=Config!$H$3,"SALDO BAIXO","OK"))))</x:f>
        <x:v>OK</x:v>
      </x:c>
      <x:c r="L109" s="34" t="n">
        <x:v>2.25</x:v>
      </x:c>
      <x:c r="M109" s="30" t="str">
        <x:v>Filipa Roquette - Sociedade Uni</x:v>
      </x:c>
    </x:row>
    <x:row r="110">
      <x:c r="A110" s="30" t="n">
        <x:v>106</x:v>
      </x:c>
      <x:c r="B110" s="30" t="str">
        <x:v>FILIPA ROQUETTE - Sociedade Unipessoal Lda</x:v>
      </x:c>
      <x:c r="C110" s="32" t="n">
        <x:v>45483</x:v>
      </x:c>
      <x:c r="D110" s="30" t="str">
        <x:v>Intervenção</x:v>
      </x:c>
      <x:c r="E110" s="30" t="str">
        <x:v>Filipa Roquette</x:v>
      </x:c>
      <x:c r="F110" s="30" t="str">
        <x:v>ClickStop</x:v>
      </x:c>
      <x:c r="G110" s="30" t="str">
        <x:v>Ajuda na Loja com Filipa</x:v>
      </x:c>
      <x:c r="H110" s="34" t="str"/>
      <x:c r="I110" s="34" t="n">
        <x:v>0.5</x:v>
      </x:c>
      <x:c r="J110" s="34" t="n">
        <x:f>IF(B110="","",SUMIFS($H$5:$H$500,$B$5:$B$500,B110,$A$5:$A$500,"&lt;="&amp;A110)-SUMIFS($I$5:$I$500,$B$5:$B$500,B110,$A$5:$A$500,"&lt;="&amp;A110))</x:f>
        <x:v>1.75</x:v>
      </x:c>
      <x:c r="K110" s="30" t="str">
        <x:f>IF(B110="","",IF(J110&lt;=0,"ESGOTADO",IF(J110&lt;=Config!$H$2,"SALDO CRÍTICO",IF(J110&lt;=Config!$H$3,"SALDO BAIXO","OK"))))</x:f>
        <x:v>SALDO BAIXO</x:v>
      </x:c>
      <x:c r="L110" s="34" t="n">
        <x:v>1.75</x:v>
      </x:c>
      <x:c r="M110" s="30" t="str">
        <x:v>Filipa Roquette - Sociedade Uni</x:v>
      </x:c>
    </x:row>
    <x:row r="111">
      <x:c r="A111" s="30" t="n">
        <x:v>107</x:v>
      </x:c>
      <x:c r="B111" s="30" t="str">
        <x:v>FILIPA ROQUETTE - Sociedade Unipessoal Lda</x:v>
      </x:c>
      <x:c r="C111" s="32" t="n">
        <x:v>45566</x:v>
      </x:c>
      <x:c r="D111" s="30" t="str">
        <x:v>Intervenção</x:v>
      </x:c>
      <x:c r="E111" s="30" t="str">
        <x:v>Filipa Roquette</x:v>
      </x:c>
      <x:c r="F111" s="30" t="str">
        <x:v>ClickStop</x:v>
      </x:c>
      <x:c r="G111" s="30" t="str">
        <x:v>Assistência Remota Email Filipa Roquette</x:v>
      </x:c>
      <x:c r="H111" s="34" t="str"/>
      <x:c r="I111" s="34" t="n">
        <x:v>0.5</x:v>
      </x:c>
      <x:c r="J111" s="34" t="n">
        <x:f>IF(B111="","",SUMIFS($H$5:$H$500,$B$5:$B$500,B111,$A$5:$A$500,"&lt;="&amp;A111)-SUMIFS($I$5:$I$500,$B$5:$B$500,B111,$A$5:$A$500,"&lt;="&amp;A111))</x:f>
        <x:v>1.25</x:v>
      </x:c>
      <x:c r="K111" s="30" t="str">
        <x:f>IF(B111="","",IF(J111&lt;=0,"ESGOTADO",IF(J111&lt;=Config!$H$2,"SALDO CRÍTICO",IF(J111&lt;=Config!$H$3,"SALDO BAIXO","OK"))))</x:f>
        <x:v>SALDO BAIXO</x:v>
      </x:c>
      <x:c r="L111" s="34" t="n">
        <x:v>1.25</x:v>
      </x:c>
      <x:c r="M111" s="30" t="str">
        <x:v>Filipa Roquette - Sociedade Uni</x:v>
      </x:c>
    </x:row>
    <x:row r="112">
      <x:c r="A112" s="30" t="n">
        <x:v>108</x:v>
      </x:c>
      <x:c r="B112" s="30" t="str">
        <x:v>FILIPA ROQUETTE - Sociedade Unipessoal Lda</x:v>
      </x:c>
      <x:c r="C112" s="32" t="n">
        <x:v>45952</x:v>
      </x:c>
      <x:c r="D112" s="30" t="str">
        <x:v>Intervenção</x:v>
      </x:c>
      <x:c r="E112" s="30" t="str">
        <x:v>Filipa Roquette</x:v>
      </x:c>
      <x:c r="F112" s="30" t="str">
        <x:v>ClickStop</x:v>
      </x:c>
      <x:c r="G112" s="30" t="str">
        <x:v>Assistência Remota Email Filipa Roquette</x:v>
      </x:c>
      <x:c r="H112" s="34" t="str"/>
      <x:c r="I112" s="34" t="n">
        <x:v>0.25</x:v>
      </x:c>
      <x:c r="J112" s="34" t="n">
        <x:f>IF(B112="","",SUMIFS($H$5:$H$500,$B$5:$B$500,B112,$A$5:$A$500,"&lt;="&amp;A112)-SUMIFS($I$5:$I$500,$B$5:$B$500,B112,$A$5:$A$500,"&lt;="&amp;A112))</x:f>
        <x:v>1</x:v>
      </x:c>
      <x:c r="K112" s="30" t="str">
        <x:f>IF(B112="","",IF(J112&lt;=0,"ESGOTADO",IF(J112&lt;=Config!$H$2,"SALDO CRÍTICO",IF(J112&lt;=Config!$H$3,"SALDO BAIXO","OK"))))</x:f>
        <x:v>SALDO CRÍTICO</x:v>
      </x:c>
      <x:c r="L112" s="34" t="n">
        <x:v>1</x:v>
      </x:c>
      <x:c r="M112" s="30" t="str">
        <x:v>Filipa Roquette - Sociedade Uni</x:v>
      </x:c>
    </x:row>
    <x:row r="113">
      <x:c r="A113" s="30" t="n">
        <x:v>109</x:v>
      </x:c>
      <x:c r="B113" s="30" t="str">
        <x:v>FILIPA ROQUETTE - Sociedade Unipessoal Lda</x:v>
      </x:c>
      <x:c r="C113" s="32" t="n">
        <x:v>45971</x:v>
      </x:c>
      <x:c r="D113" s="30" t="str">
        <x:v>Intervenção</x:v>
      </x:c>
      <x:c r="E113" s="30" t="str">
        <x:v>Filipa Roquette</x:v>
      </x:c>
      <x:c r="F113" s="30" t="str">
        <x:v>ClickStop</x:v>
      </x:c>
      <x:c r="G113" s="30" t="str">
        <x:v>Assistência Remota Email no telemóvel</x:v>
      </x:c>
      <x:c r="H113" s="34" t="str"/>
      <x:c r="I113" s="34" t="n">
        <x:v>0.25</x:v>
      </x:c>
      <x:c r="J113" s="34" t="n">
        <x:f>IF(B113="","",SUMIFS($H$5:$H$500,$B$5:$B$500,B113,$A$5:$A$500,"&lt;="&amp;A113)-SUMIFS($I$5:$I$500,$B$5:$B$500,B113,$A$5:$A$500,"&lt;="&amp;A113))</x:f>
        <x:v>0.75</x:v>
      </x:c>
      <x:c r="K113" s="30" t="str">
        <x:f>IF(B113="","",IF(J113&lt;=0,"ESGOTADO",IF(J113&lt;=Config!$H$2,"SALDO CRÍTICO",IF(J113&lt;=Config!$H$3,"SALDO BAIXO","OK"))))</x:f>
        <x:v>SALDO CRÍTICO</x:v>
      </x:c>
      <x:c r="L113" s="34" t="n">
        <x:v>0.75</x:v>
      </x:c>
      <x:c r="M113" s="30" t="str">
        <x:v>Filipa Roquette - Sociedade Uni</x:v>
      </x:c>
    </x:row>
    <x:row r="114">
      <x:c r="A114" s="30" t="n">
        <x:v>110</x:v>
      </x:c>
      <x:c r="B114" s="30" t="str">
        <x:v>GRUPO JOSÉ AVILLEZ</x:v>
      </x:c>
      <x:c r="C114" s="32" t="n">
        <x:v>45939</x:v>
      </x:c>
      <x:c r="D114" s="30" t="str">
        <x:v>Compra</x:v>
      </x:c>
      <x:c r="E114" s="30" t="str"/>
      <x:c r="F114" s="30" t="str"/>
      <x:c r="G114" s="30" t="str">
        <x:v>Aquisição Pack 10 Horas</x:v>
      </x:c>
      <x:c r="H114" s="34" t="n">
        <x:v>10</x:v>
      </x:c>
      <x:c r="I114" s="34" t="str"/>
      <x:c r="J114" s="34" t="n">
        <x:f>IF(B114="","",SUMIFS($H$5:$H$500,$B$5:$B$500,B114,$A$5:$A$500,"&lt;="&amp;A114)-SUMIFS($I$5:$I$500,$B$5:$B$500,B114,$A$5:$A$500,"&lt;="&amp;A114))</x:f>
        <x:v>10</x:v>
      </x:c>
      <x:c r="K114" s="30" t="str">
        <x:f>IF(B114="","",IF(J114&lt;=0,"ESGOTADO",IF(J114&lt;=Config!$H$2,"SALDO CRÍTICO",IF(J114&lt;=Config!$H$3,"SALDO BAIXO","OK"))))</x:f>
        <x:v>OK</x:v>
      </x:c>
      <x:c r="L114" s="34" t="n">
        <x:v>10</x:v>
      </x:c>
      <x:c r="M114" s="30" t="str">
        <x:v>GRUPO JOSE AVILLEZ</x:v>
      </x:c>
    </x:row>
    <x:row r="115">
      <x:c r="A115" s="30" t="n">
        <x:v>111</x:v>
      </x:c>
      <x:c r="B115" s="30" t="str">
        <x:v>GRUPO JOSÉ AVILLEZ</x:v>
      </x:c>
      <x:c r="C115" s="32" t="n">
        <x:v>45939</x:v>
      </x:c>
      <x:c r="D115" s="30" t="str">
        <x:v>Intervenção</x:v>
      </x:c>
      <x:c r="E115" s="30" t="str">
        <x:v>Sónia Carocha</x:v>
      </x:c>
      <x:c r="F115" s="30" t="str">
        <x:v>Ivan Lopes</x:v>
      </x:c>
      <x:c r="G115" s="30" t="str">
        <x:v>Maré - Câmera Corredor + Central</x:v>
      </x:c>
      <x:c r="H115" s="34" t="str"/>
      <x:c r="I115" s="34" t="n">
        <x:v>1</x:v>
      </x:c>
      <x:c r="J115" s="34" t="n">
        <x:f>IF(B115="","",SUMIFS($H$5:$H$500,$B$5:$B$500,B115,$A$5:$A$500,"&lt;="&amp;A115)-SUMIFS($I$5:$I$500,$B$5:$B$500,B115,$A$5:$A$500,"&lt;="&amp;A115))</x:f>
        <x:v>9</x:v>
      </x:c>
      <x:c r="K115" s="30" t="str">
        <x:f>IF(B115="","",IF(J115&lt;=0,"ESGOTADO",IF(J115&lt;=Config!$H$2,"SALDO CRÍTICO",IF(J115&lt;=Config!$H$3,"SALDO BAIXO","OK"))))</x:f>
        <x:v>OK</x:v>
      </x:c>
      <x:c r="L115" s="34" t="n">
        <x:v>9</x:v>
      </x:c>
      <x:c r="M115" s="30" t="str">
        <x:v>GRUPO JOSE AVILLEZ</x:v>
      </x:c>
    </x:row>
    <x:row r="116">
      <x:c r="A116" s="30" t="n">
        <x:v>112</x:v>
      </x:c>
      <x:c r="B116" s="30" t="str">
        <x:v>GRUPO JOSÉ AVILLEZ</x:v>
      </x:c>
      <x:c r="C116" s="32" t="n">
        <x:v>46007</x:v>
      </x:c>
      <x:c r="D116" s="30" t="str">
        <x:v>Intervenção</x:v>
      </x:c>
      <x:c r="E116" s="30" t="str">
        <x:v>Sónia Carocha</x:v>
      </x:c>
      <x:c r="F116" s="30" t="str">
        <x:v>Ivan Lopes</x:v>
      </x:c>
      <x:c r="G116" s="30" t="str">
        <x:v>Câmera Portão Serviço e Sala Cascais Maré</x:v>
      </x:c>
      <x:c r="H116" s="34" t="str"/>
      <x:c r="I116" s="34" t="n">
        <x:v>1</x:v>
      </x:c>
      <x:c r="J116" s="34" t="n">
        <x:f>IF(B116="","",SUMIFS($H$5:$H$500,$B$5:$B$500,B116,$A$5:$A$500,"&lt;="&amp;A116)-SUMIFS($I$5:$I$500,$B$5:$B$500,B116,$A$5:$A$500,"&lt;="&amp;A116))</x:f>
        <x:v>8</x:v>
      </x:c>
      <x:c r="K116" s="30" t="str">
        <x:f>IF(B116="","",IF(J116&lt;=0,"ESGOTADO",IF(J116&lt;=Config!$H$2,"SALDO CRÍTICO",IF(J116&lt;=Config!$H$3,"SALDO BAIXO","OK"))))</x:f>
        <x:v>OK</x:v>
      </x:c>
      <x:c r="L116" s="34" t="n">
        <x:v>8</x:v>
      </x:c>
      <x:c r="M116" s="30" t="str">
        <x:v>GRUPO JOSE AVILLEZ</x:v>
      </x:c>
    </x:row>
    <x:row r="117">
      <x:c r="A117" s="30" t="n">
        <x:v>113</x:v>
      </x:c>
      <x:c r="B117" s="30" t="str">
        <x:v>GRUPO JOSÉ AVILLEZ</x:v>
      </x:c>
      <x:c r="C117" s="32" t="n">
        <x:v>46106</x:v>
      </x:c>
      <x:c r="D117" s="30" t="str">
        <x:v>Intervenção</x:v>
      </x:c>
      <x:c r="E117" s="30" t="str">
        <x:v>Sónia Carocha</x:v>
      </x:c>
      <x:c r="F117" s="30" t="str">
        <x:v>Ivan Lopes</x:v>
      </x:c>
      <x:c r="G117" s="30" t="str">
        <x:v>Instalação de câmeras novas</x:v>
      </x:c>
      <x:c r="H117" s="34" t="str"/>
      <x:c r="I117" s="34" t="n">
        <x:v>4</x:v>
      </x:c>
      <x:c r="J117" s="34" t="n">
        <x:f>IF(B117="","",SUMIFS($H$5:$H$500,$B$5:$B$500,B117,$A$5:$A$500,"&lt;="&amp;A117)-SUMIFS($I$5:$I$500,$B$5:$B$500,B117,$A$5:$A$500,"&lt;="&amp;A117))</x:f>
        <x:v>4</x:v>
      </x:c>
      <x:c r="K117" s="30" t="str">
        <x:f>IF(B117="","",IF(J117&lt;=0,"ESGOTADO",IF(J117&lt;=Config!$H$2,"SALDO CRÍTICO",IF(J117&lt;=Config!$H$3,"SALDO BAIXO","OK"))))</x:f>
        <x:v>OK</x:v>
      </x:c>
      <x:c r="L117" s="34" t="n">
        <x:v>4</x:v>
      </x:c>
      <x:c r="M117" s="30" t="str">
        <x:v>GRUPO JOSE AVILLEZ</x:v>
      </x:c>
    </x:row>
    <x:row r="118">
      <x:c r="A118" s="30" t="n">
        <x:v>114</x:v>
      </x:c>
      <x:c r="B118" s="30" t="str">
        <x:v>GRUPO JOSÉ AVILLEZ</x:v>
      </x:c>
      <x:c r="C118" s="32" t="n">
        <x:v>46122</x:v>
      </x:c>
      <x:c r="D118" s="30" t="str">
        <x:v>Intervenção</x:v>
      </x:c>
      <x:c r="E118" s="30" t="str">
        <x:v>Sónia Carocha</x:v>
      </x:c>
      <x:c r="F118" s="30" t="str">
        <x:v>Ivan Lopes</x:v>
      </x:c>
      <x:c r="G118" s="30" t="str">
        <x:v>Alteração de câmera no Cantinho</x:v>
      </x:c>
      <x:c r="H118" s="34" t="str"/>
      <x:c r="I118" s="34" t="n">
        <x:v>1</x:v>
      </x:c>
      <x:c r="J118" s="34" t="n">
        <x:f>IF(B118="","",SUMIFS($H$5:$H$500,$B$5:$B$500,B118,$A$5:$A$500,"&lt;="&amp;A118)-SUMIFS($I$5:$I$500,$B$5:$B$500,B118,$A$5:$A$500,"&lt;="&amp;A118))</x:f>
        <x:v>3</x:v>
      </x:c>
      <x:c r="K118" s="30" t="str">
        <x:f>IF(B118="","",IF(J118&lt;=0,"ESGOTADO",IF(J118&lt;=Config!$H$2,"SALDO CRÍTICO",IF(J118&lt;=Config!$H$3,"SALDO BAIXO","OK"))))</x:f>
        <x:v>OK</x:v>
      </x:c>
      <x:c r="L118" s="34" t="n">
        <x:v>3</x:v>
      </x:c>
      <x:c r="M118" s="30" t="str">
        <x:v>GRUPO JOSE AVILLEZ</x:v>
      </x:c>
    </x:row>
    <x:row r="119">
      <x:c r="A119" s="30" t="n">
        <x:v>115</x:v>
      </x:c>
      <x:c r="B119" s="30" t="str">
        <x:v>INÊS MOURA</x:v>
      </x:c>
      <x:c r="C119" s="32" t="n">
        <x:v>45091</x:v>
      </x:c>
      <x:c r="D119" s="30" t="str">
        <x:v>Compra</x:v>
      </x:c>
      <x:c r="E119" s="30" t="str"/>
      <x:c r="F119" s="30" t="str"/>
      <x:c r="G119" s="30" t="str">
        <x:v>Aquisição/Saldo inicial pack (arquivo)</x:v>
      </x:c>
      <x:c r="H119" s="34" t="n">
        <x:v>5</x:v>
      </x:c>
      <x:c r="I119" s="34" t="str"/>
      <x:c r="J119" s="34" t="n">
        <x:f>IF(B119="","",SUMIFS($H$5:$H$500,$B$5:$B$500,B119,$A$5:$A$500,"&lt;="&amp;A119)-SUMIFS($I$5:$I$500,$B$5:$B$500,B119,$A$5:$A$500,"&lt;="&amp;A119))</x:f>
        <x:v>5</x:v>
      </x:c>
      <x:c r="K119" s="30" t="str">
        <x:f>IF(B119="","",IF(J119&lt;=0,"ESGOTADO",IF(J119&lt;=Config!$H$2,"SALDO CRÍTICO",IF(J119&lt;=Config!$H$3,"SALDO BAIXO","OK"))))</x:f>
        <x:v>OK</x:v>
      </x:c>
      <x:c r="L119" s="34" t="str"/>
      <x:c r="M119" s="30" t="str">
        <x:v>INÊS MOURA</x:v>
      </x:c>
    </x:row>
    <x:row r="120">
      <x:c r="A120" s="30" t="n">
        <x:v>116</x:v>
      </x:c>
      <x:c r="B120" s="30" t="str">
        <x:v>INÊS MOURA</x:v>
      </x:c>
      <x:c r="C120" s="32" t="n">
        <x:v>45091</x:v>
      </x:c>
      <x:c r="D120" s="30" t="str">
        <x:v>Intervenção</x:v>
      </x:c>
      <x:c r="E120" s="30" t="str"/>
      <x:c r="F120" s="30" t="str"/>
      <x:c r="G120" s="30" t="str">
        <x:v>Intervenção (arquivo)</x:v>
      </x:c>
      <x:c r="H120" s="34" t="str"/>
      <x:c r="I120" s="34" t="n">
        <x:v>5</x:v>
      </x:c>
      <x:c r="J120" s="34" t="n">
        <x:f>IF(B120="","",SUMIFS($H$5:$H$500,$B$5:$B$500,B120,$A$5:$A$500,"&lt;="&amp;A120)-SUMIFS($I$5:$I$500,$B$5:$B$500,B120,$A$5:$A$500,"&lt;="&amp;A120))</x:f>
        <x:v>0</x:v>
      </x:c>
      <x:c r="K120" s="30" t="str">
        <x:f>IF(B120="","",IF(J120&lt;=0,"ESGOTADO",IF(J120&lt;=Config!$H$2,"SALDO CRÍTICO",IF(J120&lt;=Config!$H$3,"SALDO BAIXO","OK"))))</x:f>
        <x:v>ESGOTADO</x:v>
      </x:c>
      <x:c r="L120" s="34" t="str"/>
      <x:c r="M120" s="30" t="str">
        <x:v>INÊS MOURA</x:v>
      </x:c>
    </x:row>
    <x:row r="121">
      <x:c r="A121" s="30" t="n">
        <x:v>117</x:v>
      </x:c>
      <x:c r="B121" s="30" t="str">
        <x:v>INÊS MOURA</x:v>
      </x:c>
      <x:c r="C121" s="32" t="n">
        <x:v>45306</x:v>
      </x:c>
      <x:c r="D121" s="30" t="str">
        <x:v>Compra</x:v>
      </x:c>
      <x:c r="E121" s="30" t="str"/>
      <x:c r="F121" s="30" t="str"/>
      <x:c r="G121" s="30" t="str">
        <x:v>Aquisição/Saldo inicial pack (arquivo)</x:v>
      </x:c>
      <x:c r="H121" s="34" t="n">
        <x:v>5</x:v>
      </x:c>
      <x:c r="I121" s="34" t="str"/>
      <x:c r="J121" s="34" t="n">
        <x:f>IF(B121="","",SUMIFS($H$5:$H$500,$B$5:$B$500,B121,$A$5:$A$500,"&lt;="&amp;A121)-SUMIFS($I$5:$I$500,$B$5:$B$500,B121,$A$5:$A$500,"&lt;="&amp;A121))</x:f>
        <x:v>5</x:v>
      </x:c>
      <x:c r="K121" s="30" t="str">
        <x:f>IF(B121="","",IF(J121&lt;=0,"ESGOTADO",IF(J121&lt;=Config!$H$2,"SALDO CRÍTICO",IF(J121&lt;=Config!$H$3,"SALDO BAIXO","OK"))))</x:f>
        <x:v>OK</x:v>
      </x:c>
      <x:c r="L121" s="34" t="str"/>
      <x:c r="M121" s="30" t="str">
        <x:v>INÊS MOURA</x:v>
      </x:c>
    </x:row>
    <x:row r="122">
      <x:c r="A122" s="30" t="n">
        <x:v>118</x:v>
      </x:c>
      <x:c r="B122" s="30" t="str">
        <x:v>INÊS MOURA</x:v>
      </x:c>
      <x:c r="C122" s="32" t="n">
        <x:v>45306</x:v>
      </x:c>
      <x:c r="D122" s="30" t="str">
        <x:v>Intervenção</x:v>
      </x:c>
      <x:c r="E122" s="30" t="str"/>
      <x:c r="F122" s="30" t="str"/>
      <x:c r="G122" s="30" t="str">
        <x:v>15/01/2024 Ajuda com onedrive, emails e mac</x:v>
      </x:c>
      <x:c r="H122" s="34" t="str"/>
      <x:c r="I122" s="34" t="n">
        <x:v>2</x:v>
      </x:c>
      <x:c r="J122" s="34" t="n">
        <x:f>IF(B122="","",SUMIFS($H$5:$H$500,$B$5:$B$500,B122,$A$5:$A$500,"&lt;="&amp;A122)-SUMIFS($I$5:$I$500,$B$5:$B$500,B122,$A$5:$A$500,"&lt;="&amp;A122))</x:f>
        <x:v>3</x:v>
      </x:c>
      <x:c r="K122" s="30" t="str">
        <x:f>IF(B122="","",IF(J122&lt;=0,"ESGOTADO",IF(J122&lt;=Config!$H$2,"SALDO CRÍTICO",IF(J122&lt;=Config!$H$3,"SALDO BAIXO","OK"))))</x:f>
        <x:v>OK</x:v>
      </x:c>
      <x:c r="L122" s="34" t="str"/>
      <x:c r="M122" s="30" t="str">
        <x:v>INÊS MOURA</x:v>
      </x:c>
    </x:row>
    <x:row r="123">
      <x:c r="A123" s="30" t="n">
        <x:v>119</x:v>
      </x:c>
      <x:c r="B123" s="30" t="str">
        <x:v>INÊS MOURA</x:v>
      </x:c>
      <x:c r="C123" s="32" t="n">
        <x:v>45475</x:v>
      </x:c>
      <x:c r="D123" s="30" t="str">
        <x:v>Intervenção</x:v>
      </x:c>
      <x:c r="E123" s="30" t="str"/>
      <x:c r="F123" s="30" t="str"/>
      <x:c r="G123" s="30" t="str">
        <x:v>AR Pedro Pissarra</x:v>
      </x:c>
      <x:c r="H123" s="34" t="str"/>
      <x:c r="I123" s="34" t="n">
        <x:v>0.5</x:v>
      </x:c>
      <x:c r="J123" s="34" t="n">
        <x:f>IF(B123="","",SUMIFS($H$5:$H$500,$B$5:$B$500,B123,$A$5:$A$500,"&lt;="&amp;A123)-SUMIFS($I$5:$I$500,$B$5:$B$500,B123,$A$5:$A$500,"&lt;="&amp;A123))</x:f>
        <x:v>2.5</x:v>
      </x:c>
      <x:c r="K123" s="30" t="str">
        <x:f>IF(B123="","",IF(J123&lt;=0,"ESGOTADO",IF(J123&lt;=Config!$H$2,"SALDO CRÍTICO",IF(J123&lt;=Config!$H$3,"SALDO BAIXO","OK"))))</x:f>
        <x:v>OK</x:v>
      </x:c>
      <x:c r="L123" s="34" t="str"/>
      <x:c r="M123" s="30" t="str">
        <x:v>INÊS MOURA</x:v>
      </x:c>
    </x:row>
    <x:row r="124">
      <x:c r="A124" s="30" t="n">
        <x:v>120</x:v>
      </x:c>
      <x:c r="B124" s="30" t="str">
        <x:v>INÊS MOURA</x:v>
      </x:c>
      <x:c r="C124" s="32" t="n">
        <x:v>45614</x:v>
      </x:c>
      <x:c r="D124" s="30" t="str">
        <x:v>Intervenção</x:v>
      </x:c>
      <x:c r="E124" s="30" t="str"/>
      <x:c r="F124" s="30" t="str"/>
      <x:c r="G124" s="30" t="str">
        <x:v>AR Autocad INES MOURA</x:v>
      </x:c>
      <x:c r="H124" s="34" t="str"/>
      <x:c r="I124" s="34" t="n">
        <x:v>0.25</x:v>
      </x:c>
      <x:c r="J124" s="34" t="n">
        <x:f>IF(B124="","",SUMIFS($H$5:$H$500,$B$5:$B$500,B124,$A$5:$A$500,"&lt;="&amp;A124)-SUMIFS($I$5:$I$500,$B$5:$B$500,B124,$A$5:$A$500,"&lt;="&amp;A124))</x:f>
        <x:v>2.25</x:v>
      </x:c>
      <x:c r="K124" s="30" t="str">
        <x:f>IF(B124="","",IF(J124&lt;=0,"ESGOTADO",IF(J124&lt;=Config!$H$2,"SALDO CRÍTICO",IF(J124&lt;=Config!$H$3,"SALDO BAIXO","OK"))))</x:f>
        <x:v>OK</x:v>
      </x:c>
      <x:c r="L124" s="34" t="str"/>
      <x:c r="M124" s="30" t="str">
        <x:v>INÊS MOURA</x:v>
      </x:c>
    </x:row>
    <x:row r="125">
      <x:c r="A125" s="30" t="n">
        <x:v>121</x:v>
      </x:c>
      <x:c r="B125" s="30" t="str">
        <x:v>INÊS MOURA</x:v>
      </x:c>
      <x:c r="C125" s="32" t="n">
        <x:v>45615</x:v>
      </x:c>
      <x:c r="D125" s="30" t="str">
        <x:v>Intervenção</x:v>
      </x:c>
      <x:c r="E125" s="30" t="str"/>
      <x:c r="F125" s="30" t="str"/>
      <x:c r="G125" s="30" t="str">
        <x:v>AR Outlook Marion</x:v>
      </x:c>
      <x:c r="H125" s="34" t="str"/>
      <x:c r="I125" s="34" t="n">
        <x:v>0.5</x:v>
      </x:c>
      <x:c r="J125" s="34" t="n">
        <x:f>IF(B125="","",SUMIFS($H$5:$H$500,$B$5:$B$500,B125,$A$5:$A$500,"&lt;="&amp;A125)-SUMIFS($I$5:$I$500,$B$5:$B$500,B125,$A$5:$A$500,"&lt;="&amp;A125))</x:f>
        <x:v>1.75</x:v>
      </x:c>
      <x:c r="K125" s="30" t="str">
        <x:f>IF(B125="","",IF(J125&lt;=0,"ESGOTADO",IF(J125&lt;=Config!$H$2,"SALDO CRÍTICO",IF(J125&lt;=Config!$H$3,"SALDO BAIXO","OK"))))</x:f>
        <x:v>SALDO BAIXO</x:v>
      </x:c>
      <x:c r="L125" s="34" t="str"/>
      <x:c r="M125" s="30" t="str">
        <x:v>INÊS MOURA</x:v>
      </x:c>
    </x:row>
    <x:row r="126">
      <x:c r="A126" s="30" t="n">
        <x:v>122</x:v>
      </x:c>
      <x:c r="B126" s="30" t="str">
        <x:v>INÊS MOURA</x:v>
      </x:c>
      <x:c r="C126" s="32" t="n">
        <x:v>45643</x:v>
      </x:c>
      <x:c r="D126" s="30" t="str">
        <x:v>Intervenção</x:v>
      </x:c>
      <x:c r="E126" s="30" t="str"/>
      <x:c r="F126" s="30" t="str"/>
      <x:c r="G126" s="30" t="str">
        <x:v>AR Ines Onedrive</x:v>
      </x:c>
      <x:c r="H126" s="34" t="str"/>
      <x:c r="I126" s="34" t="n">
        <x:v>0.5</x:v>
      </x:c>
      <x:c r="J126" s="34" t="n">
        <x:f>IF(B126="","",SUMIFS($H$5:$H$500,$B$5:$B$500,B126,$A$5:$A$500,"&lt;="&amp;A126)-SUMIFS($I$5:$I$500,$B$5:$B$500,B126,$A$5:$A$500,"&lt;="&amp;A126))</x:f>
        <x:v>1.25</x:v>
      </x:c>
      <x:c r="K126" s="30" t="str">
        <x:f>IF(B126="","",IF(J126&lt;=0,"ESGOTADO",IF(J126&lt;=Config!$H$2,"SALDO CRÍTICO",IF(J126&lt;=Config!$H$3,"SALDO BAIXO","OK"))))</x:f>
        <x:v>SALDO BAIXO</x:v>
      </x:c>
      <x:c r="L126" s="34" t="str"/>
      <x:c r="M126" s="30" t="str">
        <x:v>INÊS MOURA</x:v>
      </x:c>
    </x:row>
    <x:row r="127">
      <x:c r="A127" s="30" t="n">
        <x:v>123</x:v>
      </x:c>
      <x:c r="B127" s="30" t="str">
        <x:v>INÊS MOURA</x:v>
      </x:c>
      <x:c r="C127" s="32" t="n">
        <x:v>45663</x:v>
      </x:c>
      <x:c r="D127" s="30" t="str">
        <x:v>Intervenção</x:v>
      </x:c>
      <x:c r="E127" s="30" t="str"/>
      <x:c r="F127" s="30" t="str"/>
      <x:c r="G127" s="30" t="str">
        <x:v>AR Ines Onedrive</x:v>
      </x:c>
      <x:c r="H127" s="34" t="str"/>
      <x:c r="I127" s="34" t="n">
        <x:v>0.25</x:v>
      </x:c>
      <x:c r="J127" s="34" t="n">
        <x:f>IF(B127="","",SUMIFS($H$5:$H$500,$B$5:$B$500,B127,$A$5:$A$500,"&lt;="&amp;A127)-SUMIFS($I$5:$I$500,$B$5:$B$500,B127,$A$5:$A$500,"&lt;="&amp;A127))</x:f>
        <x:v>1</x:v>
      </x:c>
      <x:c r="K127" s="30" t="str">
        <x:f>IF(B127="","",IF(J127&lt;=0,"ESGOTADO",IF(J127&lt;=Config!$H$2,"SALDO CRÍTICO",IF(J127&lt;=Config!$H$3,"SALDO BAIXO","OK"))))</x:f>
        <x:v>SALDO CRÍTICO</x:v>
      </x:c>
      <x:c r="L127" s="34" t="str"/>
      <x:c r="M127" s="30" t="str">
        <x:v>INÊS MOURA</x:v>
      </x:c>
    </x:row>
    <x:row r="128">
      <x:c r="A128" s="30" t="n">
        <x:v>124</x:v>
      </x:c>
      <x:c r="B128" s="30" t="str">
        <x:v>INÊS MOURA</x:v>
      </x:c>
      <x:c r="C128" s="32" t="n">
        <x:v>45959</x:v>
      </x:c>
      <x:c r="D128" s="30" t="str">
        <x:v>Intervenção</x:v>
      </x:c>
      <x:c r="E128" s="30" t="str"/>
      <x:c r="F128" s="30" t="str"/>
      <x:c r="G128" s="30" t="str">
        <x:v>Assistencia no Local Vários Assuntos</x:v>
      </x:c>
      <x:c r="H128" s="34" t="str"/>
      <x:c r="I128" s="34" t="n">
        <x:v>1.25</x:v>
      </x:c>
      <x:c r="J128" s="34" t="n">
        <x:f>IF(B128="","",SUMIFS($H$5:$H$500,$B$5:$B$500,B128,$A$5:$A$500,"&lt;="&amp;A128)-SUMIFS($I$5:$I$500,$B$5:$B$500,B128,$A$5:$A$500,"&lt;="&amp;A128))</x:f>
        <x:v>-0.25</x:v>
      </x:c>
      <x:c r="K128" s="30" t="str">
        <x:f>IF(B128="","",IF(J128&lt;=0,"ESGOTADO",IF(J128&lt;=Config!$H$2,"SALDO CRÍTICO",IF(J128&lt;=Config!$H$3,"SALDO BAIXO","OK"))))</x:f>
        <x:v>ESGOTADO</x:v>
      </x:c>
      <x:c r="L128" s="34" t="str"/>
      <x:c r="M128" s="30" t="str">
        <x:v>INÊS MOURA</x:v>
      </x:c>
    </x:row>
    <x:row r="129">
      <x:c r="A129" s="30" t="n">
        <x:v>125</x:v>
      </x:c>
      <x:c r="B129" s="30" t="str">
        <x:v>INÊS MOURA</x:v>
      </x:c>
      <x:c r="C129" s="32" t="n">
        <x:v>46056</x:v>
      </x:c>
      <x:c r="D129" s="30" t="str">
        <x:v>Compra</x:v>
      </x:c>
      <x:c r="E129" s="30" t="str"/>
      <x:c r="F129" s="30" t="str"/>
      <x:c r="G129" s="30" t="str">
        <x:v>Aquisição/Saldo inicial pack (arquivo)</x:v>
      </x:c>
      <x:c r="H129" s="34" t="n">
        <x:v>5</x:v>
      </x:c>
      <x:c r="I129" s="34" t="str"/>
      <x:c r="J129" s="34" t="n">
        <x:f>IF(B129="","",SUMIFS($H$5:$H$500,$B$5:$B$500,B129,$A$5:$A$500,"&lt;="&amp;A129)-SUMIFS($I$5:$I$500,$B$5:$B$500,B129,$A$5:$A$500,"&lt;="&amp;A129))</x:f>
        <x:v>4.75</x:v>
      </x:c>
      <x:c r="K129" s="30" t="str">
        <x:f>IF(B129="","",IF(J129&lt;=0,"ESGOTADO",IF(J129&lt;=Config!$H$2,"SALDO CRÍTICO",IF(J129&lt;=Config!$H$3,"SALDO BAIXO","OK"))))</x:f>
        <x:v>OK</x:v>
      </x:c>
      <x:c r="L129" s="34" t="str"/>
      <x:c r="M129" s="30" t="str">
        <x:v>INÊS MOURA</x:v>
      </x:c>
    </x:row>
    <x:row r="130">
      <x:c r="A130" s="30" t="n">
        <x:v>126</x:v>
      </x:c>
      <x:c r="B130" s="30" t="str">
        <x:v>J. TIÇÂO</x:v>
      </x:c>
      <x:c r="C130" s="32" t="n">
        <x:v>45181</x:v>
      </x:c>
      <x:c r="D130" s="30" t="str">
        <x:v>Compra</x:v>
      </x:c>
      <x:c r="E130" s="30" t="str"/>
      <x:c r="F130" s="30" t="str"/>
      <x:c r="G130" s="30" t="str">
        <x:v>Aquisição Pack 10 Horas</x:v>
      </x:c>
      <x:c r="H130" s="34" t="n">
        <x:v>10</x:v>
      </x:c>
      <x:c r="I130" s="34" t="str"/>
      <x:c r="J130" s="34" t="n">
        <x:f>IF(B130="","",SUMIFS($H$5:$H$500,$B$5:$B$500,B130,$A$5:$A$500,"&lt;="&amp;A130)-SUMIFS($I$5:$I$500,$B$5:$B$500,B130,$A$5:$A$500,"&lt;="&amp;A130))</x:f>
        <x:v>10</x:v>
      </x:c>
      <x:c r="K130" s="30" t="str">
        <x:f>IF(B130="","",IF(J130&lt;=0,"ESGOTADO",IF(J130&lt;=Config!$H$2,"SALDO CRÍTICO",IF(J130&lt;=Config!$H$3,"SALDO BAIXO","OK"))))</x:f>
        <x:v>OK</x:v>
      </x:c>
      <x:c r="L130" s="34" t="n">
        <x:v>10</x:v>
      </x:c>
      <x:c r="M130" s="30" t="str">
        <x:v>J.TICAO</x:v>
      </x:c>
    </x:row>
    <x:row r="131">
      <x:c r="A131" s="30" t="n">
        <x:v>127</x:v>
      </x:c>
      <x:c r="B131" s="30" t="str">
        <x:v>J. TIÇÂO</x:v>
      </x:c>
      <x:c r="C131" s="32" t="n">
        <x:v>45944</x:v>
      </x:c>
      <x:c r="D131" s="30" t="str">
        <x:v>Intervenção</x:v>
      </x:c>
      <x:c r="E131" s="30" t="str">
        <x:v>Mafalda Botelho</x:v>
      </x:c>
      <x:c r="F131" s="30" t="str">
        <x:v>ClickStop</x:v>
      </x:c>
      <x:c r="G131" s="30" t="str">
        <x:v>Assistência Remota</x:v>
      </x:c>
      <x:c r="H131" s="34" t="str"/>
      <x:c r="I131" s="34" t="n">
        <x:v>2</x:v>
      </x:c>
      <x:c r="J131" s="34" t="n">
        <x:f>IF(B131="","",SUMIFS($H$5:$H$500,$B$5:$B$500,B131,$A$5:$A$500,"&lt;="&amp;A131)-SUMIFS($I$5:$I$500,$B$5:$B$500,B131,$A$5:$A$500,"&lt;="&amp;A131))</x:f>
        <x:v>8</x:v>
      </x:c>
      <x:c r="K131" s="30" t="str">
        <x:f>IF(B131="","",IF(J131&lt;=0,"ESGOTADO",IF(J131&lt;=Config!$H$2,"SALDO CRÍTICO",IF(J131&lt;=Config!$H$3,"SALDO BAIXO","OK"))))</x:f>
        <x:v>OK</x:v>
      </x:c>
      <x:c r="L131" s="34" t="n">
        <x:v>8</x:v>
      </x:c>
      <x:c r="M131" s="30" t="str">
        <x:v>J.TICAO</x:v>
      </x:c>
    </x:row>
    <x:row r="132">
      <x:c r="A132" s="30" t="n">
        <x:v>128</x:v>
      </x:c>
      <x:c r="B132" s="30" t="str">
        <x:v>J. TIÇÂO</x:v>
      </x:c>
      <x:c r="C132" s="32"/>
      <x:c r="D132" s="30" t="str">
        <x:v>Intervenção</x:v>
      </x:c>
      <x:c r="E132" s="30" t="str">
        <x:v>Mafalda Botelho</x:v>
      </x:c>
      <x:c r="F132" s="30" t="str">
        <x:v>ClickStop</x:v>
      </x:c>
      <x:c r="G132" s="30" t="str">
        <x:v>Troca de computadores</x:v>
      </x:c>
      <x:c r="H132" s="34" t="str"/>
      <x:c r="I132" s="34" t="n">
        <x:v>4</x:v>
      </x:c>
      <x:c r="J132" s="34" t="n">
        <x:f>IF(B132="","",SUMIFS($H$5:$H$500,$B$5:$B$500,B132,$A$5:$A$500,"&lt;="&amp;A132)-SUMIFS($I$5:$I$500,$B$5:$B$500,B132,$A$5:$A$500,"&lt;="&amp;A132))</x:f>
        <x:v>4</x:v>
      </x:c>
      <x:c r="K132" s="30" t="str">
        <x:f>IF(B132="","",IF(J132&lt;=0,"ESGOTADO",IF(J132&lt;=Config!$H$2,"SALDO CRÍTICO",IF(J132&lt;=Config!$H$3,"SALDO BAIXO","OK"))))</x:f>
        <x:v>OK</x:v>
      </x:c>
      <x:c r="L132" s="34" t="n">
        <x:v>4</x:v>
      </x:c>
      <x:c r="M132" s="30" t="str">
        <x:v>J.TICAO</x:v>
      </x:c>
    </x:row>
    <x:row r="133">
      <x:c r="A133" s="30" t="n">
        <x:v>129</x:v>
      </x:c>
      <x:c r="B133" s="30" t="str">
        <x:v>J2L</x:v>
      </x:c>
      <x:c r="C133" s="32" t="n">
        <x:v>45713</x:v>
      </x:c>
      <x:c r="D133" s="30" t="str">
        <x:v>Compra</x:v>
      </x:c>
      <x:c r="E133" s="30" t="str"/>
      <x:c r="F133" s="30" t="str"/>
      <x:c r="G133" s="30" t="str">
        <x:v>Aquisição/Saldo inicial pack (arquivo)</x:v>
      </x:c>
      <x:c r="H133" s="34" t="n">
        <x:v>5</x:v>
      </x:c>
      <x:c r="I133" s="34" t="str"/>
      <x:c r="J133" s="34" t="n">
        <x:f>IF(B133="","",SUMIFS($H$5:$H$500,$B$5:$B$500,B133,$A$5:$A$500,"&lt;="&amp;A133)-SUMIFS($I$5:$I$500,$B$5:$B$500,B133,$A$5:$A$500,"&lt;="&amp;A133))</x:f>
        <x:v>5</x:v>
      </x:c>
      <x:c r="K133" s="30" t="str">
        <x:f>IF(B133="","",IF(J133&lt;=0,"ESGOTADO",IF(J133&lt;=Config!$H$2,"SALDO CRÍTICO",IF(J133&lt;=Config!$H$3,"SALDO BAIXO","OK"))))</x:f>
        <x:v>OK</x:v>
      </x:c>
      <x:c r="L133" s="34" t="str"/>
      <x:c r="M133" s="30" t="str">
        <x:v>J2L</x:v>
      </x:c>
    </x:row>
    <x:row r="134">
      <x:c r="A134" s="30" t="n">
        <x:v>130</x:v>
      </x:c>
      <x:c r="B134" s="30" t="str">
        <x:v>J2L</x:v>
      </x:c>
      <x:c r="C134" s="32" t="n">
        <x:v>45713</x:v>
      </x:c>
      <x:c r="D134" s="30" t="str">
        <x:v>Intervenção</x:v>
      </x:c>
      <x:c r="E134" s="30" t="str"/>
      <x:c r="F134" s="30" t="str"/>
      <x:c r="G134" s="30" t="str">
        <x:v>A.R. sobre EXCEL</x:v>
      </x:c>
      <x:c r="H134" s="34" t="str"/>
      <x:c r="I134" s="34" t="n">
        <x:v>0.5</x:v>
      </x:c>
      <x:c r="J134" s="34" t="n">
        <x:f>IF(B134="","",SUMIFS($H$5:$H$500,$B$5:$B$500,B134,$A$5:$A$500,"&lt;="&amp;A134)-SUMIFS($I$5:$I$500,$B$5:$B$500,B134,$A$5:$A$500,"&lt;="&amp;A134))</x:f>
        <x:v>4.5</x:v>
      </x:c>
      <x:c r="K134" s="30" t="str">
        <x:f>IF(B134="","",IF(J134&lt;=0,"ESGOTADO",IF(J134&lt;=Config!$H$2,"SALDO CRÍTICO",IF(J134&lt;=Config!$H$3,"SALDO BAIXO","OK"))))</x:f>
        <x:v>OK</x:v>
      </x:c>
      <x:c r="L134" s="34" t="str"/>
      <x:c r="M134" s="30" t="str">
        <x:v>J2L</x:v>
      </x:c>
    </x:row>
    <x:row r="135">
      <x:c r="A135" s="30" t="n">
        <x:v>131</x:v>
      </x:c>
      <x:c r="B135" s="30" t="str">
        <x:v>JOÃO CUNHA ROSA</x:v>
      </x:c>
      <x:c r="C135" s="32" t="n">
        <x:v>44960</x:v>
      </x:c>
      <x:c r="D135" s="30" t="str">
        <x:v>Compra</x:v>
      </x:c>
      <x:c r="E135" s="30" t="str"/>
      <x:c r="F135" s="30" t="str"/>
      <x:c r="G135" s="30" t="str">
        <x:v>Aquisição/Saldo inicial pack (arquivo)</x:v>
      </x:c>
      <x:c r="H135" s="34" t="n">
        <x:v>5</x:v>
      </x:c>
      <x:c r="I135" s="34" t="str"/>
      <x:c r="J135" s="34" t="n">
        <x:f>IF(B135="","",SUMIFS($H$5:$H$500,$B$5:$B$500,B135,$A$5:$A$500,"&lt;="&amp;A135)-SUMIFS($I$5:$I$500,$B$5:$B$500,B135,$A$5:$A$500,"&lt;="&amp;A135))</x:f>
        <x:v>5</x:v>
      </x:c>
      <x:c r="K135" s="30" t="str">
        <x:f>IF(B135="","",IF(J135&lt;=0,"ESGOTADO",IF(J135&lt;=Config!$H$2,"SALDO CRÍTICO",IF(J135&lt;=Config!$H$3,"SALDO BAIXO","OK"))))</x:f>
        <x:v>OK</x:v>
      </x:c>
      <x:c r="L135" s="34" t="str"/>
      <x:c r="M135" s="30" t="str">
        <x:v>JOÃO CUNHA ROSA</x:v>
      </x:c>
    </x:row>
    <x:row r="136">
      <x:c r="A136" s="30" t="n">
        <x:v>132</x:v>
      </x:c>
      <x:c r="B136" s="30" t="str">
        <x:v>JOÃO CUNHA ROSA</x:v>
      </x:c>
      <x:c r="C136" s="32" t="n">
        <x:v>44960</x:v>
      </x:c>
      <x:c r="D136" s="30" t="str">
        <x:v>Intervenção</x:v>
      </x:c>
      <x:c r="E136" s="30" t="str"/>
      <x:c r="F136" s="30" t="str"/>
      <x:c r="G136" s="30" t="str">
        <x:v>Intervenção (arquivo)</x:v>
      </x:c>
      <x:c r="H136" s="34" t="str"/>
      <x:c r="I136" s="34" t="n">
        <x:v>2.5</x:v>
      </x:c>
      <x:c r="J136" s="34" t="n">
        <x:f>IF(B136="","",SUMIFS($H$5:$H$500,$B$5:$B$500,B136,$A$5:$A$500,"&lt;="&amp;A136)-SUMIFS($I$5:$I$500,$B$5:$B$500,B136,$A$5:$A$500,"&lt;="&amp;A136))</x:f>
        <x:v>2.5</x:v>
      </x:c>
      <x:c r="K136" s="30" t="str">
        <x:f>IF(B136="","",IF(J136&lt;=0,"ESGOTADO",IF(J136&lt;=Config!$H$2,"SALDO CRÍTICO",IF(J136&lt;=Config!$H$3,"SALDO BAIXO","OK"))))</x:f>
        <x:v>OK</x:v>
      </x:c>
      <x:c r="L136" s="34" t="str"/>
      <x:c r="M136" s="30" t="str">
        <x:v>JOÃO CUNHA ROSA</x:v>
      </x:c>
    </x:row>
    <x:row r="137">
      <x:c r="A137" s="30" t="n">
        <x:v>133</x:v>
      </x:c>
      <x:c r="B137" s="30" t="str">
        <x:v>JOÃO CUNHA ROSA</x:v>
      </x:c>
      <x:c r="C137" s="32" t="n">
        <x:v>45665</x:v>
      </x:c>
      <x:c r="D137" s="30" t="str">
        <x:v>Intervenção</x:v>
      </x:c>
      <x:c r="E137" s="30" t="str"/>
      <x:c r="F137" s="30" t="str"/>
      <x:c r="G137" s="30" t="str">
        <x:v>AR Joao Rosa Erro Google Drive</x:v>
      </x:c>
      <x:c r="H137" s="34" t="str"/>
      <x:c r="I137" s="34" t="n">
        <x:v>1</x:v>
      </x:c>
      <x:c r="J137" s="34" t="n">
        <x:f>IF(B137="","",SUMIFS($H$5:$H$500,$B$5:$B$500,B137,$A$5:$A$500,"&lt;="&amp;A137)-SUMIFS($I$5:$I$500,$B$5:$B$500,B137,$A$5:$A$500,"&lt;="&amp;A137))</x:f>
        <x:v>1.5</x:v>
      </x:c>
      <x:c r="K137" s="30" t="str">
        <x:f>IF(B137="","",IF(J137&lt;=0,"ESGOTADO",IF(J137&lt;=Config!$H$2,"SALDO CRÍTICO",IF(J137&lt;=Config!$H$3,"SALDO BAIXO","OK"))))</x:f>
        <x:v>SALDO BAIXO</x:v>
      </x:c>
      <x:c r="L137" s="34" t="str"/>
      <x:c r="M137" s="30" t="str">
        <x:v>JOÃO CUNHA ROSA</x:v>
      </x:c>
    </x:row>
    <x:row r="138">
      <x:c r="A138" s="30" t="n">
        <x:v>134</x:v>
      </x:c>
      <x:c r="B138" s="30" t="str">
        <x:v>JOÃO CUNHA ROSA</x:v>
      </x:c>
      <x:c r="C138" s="32" t="n">
        <x:v>45909</x:v>
      </x:c>
      <x:c r="D138" s="30" t="str">
        <x:v>Intervenção</x:v>
      </x:c>
      <x:c r="E138" s="30" t="str"/>
      <x:c r="F138" s="30" t="str"/>
      <x:c r="G138" s="30" t="str">
        <x:v>Trabalho na loja</x:v>
      </x:c>
      <x:c r="H138" s="34" t="str"/>
      <x:c r="I138" s="34" t="n">
        <x:v>1.5</x:v>
      </x:c>
      <x:c r="J138" s="34" t="n">
        <x:f>IF(B138="","",SUMIFS($H$5:$H$500,$B$5:$B$500,B138,$A$5:$A$500,"&lt;="&amp;A138)-SUMIFS($I$5:$I$500,$B$5:$B$500,B138,$A$5:$A$500,"&lt;="&amp;A138))</x:f>
        <x:v>0</x:v>
      </x:c>
      <x:c r="K138" s="30" t="str">
        <x:f>IF(B138="","",IF(J138&lt;=0,"ESGOTADO",IF(J138&lt;=Config!$H$2,"SALDO CRÍTICO",IF(J138&lt;=Config!$H$3,"SALDO BAIXO","OK"))))</x:f>
        <x:v>ESGOTADO</x:v>
      </x:c>
      <x:c r="L138" s="34" t="str"/>
      <x:c r="M138" s="30" t="str">
        <x:v>JOÃO CUNHA ROSA</x:v>
      </x:c>
    </x:row>
    <x:row r="139">
      <x:c r="A139" s="30" t="n">
        <x:v>135</x:v>
      </x:c>
      <x:c r="B139" s="30" t="str">
        <x:v>KEY LEAVES</x:v>
      </x:c>
      <x:c r="C139" s="32" t="n">
        <x:v>44966</x:v>
      </x:c>
      <x:c r="D139" s="30" t="str">
        <x:v>Compra</x:v>
      </x:c>
      <x:c r="E139" s="30" t="str"/>
      <x:c r="F139" s="30" t="str"/>
      <x:c r="G139" s="30" t="str">
        <x:v>Aquisição/Saldo inicial pack (arquivo)</x:v>
      </x:c>
      <x:c r="H139" s="34" t="n">
        <x:v>5</x:v>
      </x:c>
      <x:c r="I139" s="34" t="str"/>
      <x:c r="J139" s="34" t="n">
        <x:f>IF(B139="","",SUMIFS($H$5:$H$500,$B$5:$B$500,B139,$A$5:$A$500,"&lt;="&amp;A139)-SUMIFS($I$5:$I$500,$B$5:$B$500,B139,$A$5:$A$500,"&lt;="&amp;A139))</x:f>
        <x:v>5</x:v>
      </x:c>
      <x:c r="K139" s="30" t="str">
        <x:f>IF(B139="","",IF(J139&lt;=0,"ESGOTADO",IF(J139&lt;=Config!$H$2,"SALDO CRÍTICO",IF(J139&lt;=Config!$H$3,"SALDO BAIXO","OK"))))</x:f>
        <x:v>OK</x:v>
      </x:c>
      <x:c r="L139" s="34" t="str"/>
      <x:c r="M139" s="30" t="str">
        <x:v>KEY LEAVES</x:v>
      </x:c>
    </x:row>
    <x:row r="140">
      <x:c r="A140" s="30" t="n">
        <x:v>136</x:v>
      </x:c>
      <x:c r="B140" s="30" t="str">
        <x:v>KEY LEAVES</x:v>
      </x:c>
      <x:c r="C140" s="32" t="n">
        <x:v>44966</x:v>
      </x:c>
      <x:c r="D140" s="30" t="str">
        <x:v>Intervenção</x:v>
      </x:c>
      <x:c r="E140" s="30" t="str"/>
      <x:c r="F140" s="30" t="str"/>
      <x:c r="G140" s="30" t="str">
        <x:v>Intervenção (arquivo)</x:v>
      </x:c>
      <x:c r="H140" s="34" t="str"/>
      <x:c r="I140" s="34" t="n">
        <x:v>1</x:v>
      </x:c>
      <x:c r="J140" s="34" t="n">
        <x:f>IF(B140="","",SUMIFS($H$5:$H$500,$B$5:$B$500,B140,$A$5:$A$500,"&lt;="&amp;A140)-SUMIFS($I$5:$I$500,$B$5:$B$500,B140,$A$5:$A$500,"&lt;="&amp;A140))</x:f>
        <x:v>4</x:v>
      </x:c>
      <x:c r="K140" s="30" t="str">
        <x:f>IF(B140="","",IF(J140&lt;=0,"ESGOTADO",IF(J140&lt;=Config!$H$2,"SALDO CRÍTICO",IF(J140&lt;=Config!$H$3,"SALDO BAIXO","OK"))))</x:f>
        <x:v>OK</x:v>
      </x:c>
      <x:c r="L140" s="34" t="str"/>
      <x:c r="M140" s="30" t="str">
        <x:v>KEY LEAVES</x:v>
      </x:c>
    </x:row>
    <x:row r="141">
      <x:c r="A141" s="30" t="n">
        <x:v>137</x:v>
      </x:c>
      <x:c r="B141" s="30" t="str">
        <x:v>KEY LEAVES</x:v>
      </x:c>
      <x:c r="C141" s="32" t="n">
        <x:v>45327</x:v>
      </x:c>
      <x:c r="D141" s="30" t="str">
        <x:v>Intervenção</x:v>
      </x:c>
      <x:c r="E141" s="30" t="str"/>
      <x:c r="F141" s="30" t="str"/>
      <x:c r="G141" s="30" t="str">
        <x:v>Intervenção (arquivo)</x:v>
      </x:c>
      <x:c r="H141" s="34" t="str"/>
      <x:c r="I141" s="34" t="n">
        <x:v>0.5</x:v>
      </x:c>
      <x:c r="J141" s="34" t="n">
        <x:f>IF(B141="","",SUMIFS($H$5:$H$500,$B$5:$B$500,B141,$A$5:$A$500,"&lt;="&amp;A141)-SUMIFS($I$5:$I$500,$B$5:$B$500,B141,$A$5:$A$500,"&lt;="&amp;A141))</x:f>
        <x:v>3.5</x:v>
      </x:c>
      <x:c r="K141" s="30" t="str">
        <x:f>IF(B141="","",IF(J141&lt;=0,"ESGOTADO",IF(J141&lt;=Config!$H$2,"SALDO CRÍTICO",IF(J141&lt;=Config!$H$3,"SALDO BAIXO","OK"))))</x:f>
        <x:v>OK</x:v>
      </x:c>
      <x:c r="L141" s="34" t="str"/>
      <x:c r="M141" s="30" t="str">
        <x:v>KEY LEAVES</x:v>
      </x:c>
    </x:row>
    <x:row r="142">
      <x:c r="A142" s="30" t="n">
        <x:v>138</x:v>
      </x:c>
      <x:c r="B142" s="30" t="str">
        <x:v>KEY LEAVES</x:v>
      </x:c>
      <x:c r="C142" s="32"/>
      <x:c r="D142" s="30" t="str">
        <x:v>Intervenção</x:v>
      </x:c>
      <x:c r="E142" s="30" t="str"/>
      <x:c r="F142" s="30" t="str"/>
      <x:c r="G142" s="30" t="str">
        <x:v>Intervenção (arquivo)</x:v>
      </x:c>
      <x:c r="H142" s="34" t="str"/>
      <x:c r="I142" s="34" t="n">
        <x:v>2</x:v>
      </x:c>
      <x:c r="J142" s="34" t="n">
        <x:f>IF(B142="","",SUMIFS($H$5:$H$500,$B$5:$B$500,B142,$A$5:$A$500,"&lt;="&amp;A142)-SUMIFS($I$5:$I$500,$B$5:$B$500,B142,$A$5:$A$500,"&lt;="&amp;A142))</x:f>
        <x:v>1.5</x:v>
      </x:c>
      <x:c r="K142" s="30" t="str">
        <x:f>IF(B142="","",IF(J142&lt;=0,"ESGOTADO",IF(J142&lt;=Config!$H$2,"SALDO CRÍTICO",IF(J142&lt;=Config!$H$3,"SALDO BAIXO","OK"))))</x:f>
        <x:v>SALDO BAIXO</x:v>
      </x:c>
      <x:c r="L142" s="34" t="str"/>
      <x:c r="M142" s="30" t="str">
        <x:v>KEY LEAVES</x:v>
      </x:c>
    </x:row>
    <x:row r="143">
      <x:c r="A143" s="30" t="n">
        <x:v>139</x:v>
      </x:c>
      <x:c r="B143" s="30" t="str">
        <x:v>KEY LEAVES</x:v>
      </x:c>
      <x:c r="C143" s="32"/>
      <x:c r="D143" s="30" t="str">
        <x:v>Intervenção</x:v>
      </x:c>
      <x:c r="E143" s="30" t="str"/>
      <x:c r="F143" s="30" t="str"/>
      <x:c r="G143" s="30" t="str">
        <x:v>Intervenção (arquivo)</x:v>
      </x:c>
      <x:c r="H143" s="34" t="str"/>
      <x:c r="I143" s="34" t="n">
        <x:v>1</x:v>
      </x:c>
      <x:c r="J143" s="34" t="n">
        <x:f>IF(B143="","",SUMIFS($H$5:$H$500,$B$5:$B$500,B143,$A$5:$A$500,"&lt;="&amp;A143)-SUMIFS($I$5:$I$500,$B$5:$B$500,B143,$A$5:$A$500,"&lt;="&amp;A143))</x:f>
        <x:v>0.5</x:v>
      </x:c>
      <x:c r="K143" s="30" t="str">
        <x:f>IF(B143="","",IF(J143&lt;=0,"ESGOTADO",IF(J143&lt;=Config!$H$2,"SALDO CRÍTICO",IF(J143&lt;=Config!$H$3,"SALDO BAIXO","OK"))))</x:f>
        <x:v>SALDO CRÍTICO</x:v>
      </x:c>
      <x:c r="L143" s="34" t="str"/>
      <x:c r="M143" s="30" t="str">
        <x:v>KEY LEAVES</x:v>
      </x:c>
    </x:row>
    <x:row r="144">
      <x:c r="A144" s="30" t="n">
        <x:v>140</x:v>
      </x:c>
      <x:c r="B144" s="30" t="str">
        <x:v>KEY LEAVES</x:v>
      </x:c>
      <x:c r="C144" s="32"/>
      <x:c r="D144" s="30" t="str">
        <x:v>Intervenção</x:v>
      </x:c>
      <x:c r="E144" s="30" t="str"/>
      <x:c r="F144" s="30" t="str"/>
      <x:c r="G144" s="30" t="str">
        <x:v>Intervenção (arquivo)</x:v>
      </x:c>
      <x:c r="H144" s="34" t="str"/>
      <x:c r="I144" s="34" t="n">
        <x:v>0.5</x:v>
      </x:c>
      <x:c r="J144" s="34" t="n">
        <x:f>IF(B144="","",SUMIFS($H$5:$H$500,$B$5:$B$500,B144,$A$5:$A$500,"&lt;="&amp;A144)-SUMIFS($I$5:$I$500,$B$5:$B$500,B144,$A$5:$A$500,"&lt;="&amp;A144))</x:f>
        <x:v>0</x:v>
      </x:c>
      <x:c r="K144" s="30" t="str">
        <x:f>IF(B144="","",IF(J144&lt;=0,"ESGOTADO",IF(J144&lt;=Config!$H$2,"SALDO CRÍTICO",IF(J144&lt;=Config!$H$3,"SALDO BAIXO","OK"))))</x:f>
        <x:v>ESGOTADO</x:v>
      </x:c>
      <x:c r="L144" s="34" t="str"/>
      <x:c r="M144" s="30" t="str">
        <x:v>KEY LEAVES</x:v>
      </x:c>
    </x:row>
    <x:row r="145">
      <x:c r="A145" s="30" t="n">
        <x:v>141</x:v>
      </x:c>
      <x:c r="B145" s="30" t="str">
        <x:v>KORANGI</x:v>
      </x:c>
      <x:c r="C145" s="32" t="n">
        <x:v>45845</x:v>
      </x:c>
      <x:c r="D145" s="30" t="str">
        <x:v>Compra</x:v>
      </x:c>
      <x:c r="E145" s="30" t="str"/>
      <x:c r="F145" s="30" t="str"/>
      <x:c r="G145" s="30" t="str">
        <x:v>Aquisição/Saldo inicial pack (arquivo)</x:v>
      </x:c>
      <x:c r="H145" s="34" t="n">
        <x:v>5</x:v>
      </x:c>
      <x:c r="I145" s="34" t="str"/>
      <x:c r="J145" s="34" t="n">
        <x:f>IF(B145="","",SUMIFS($H$5:$H$500,$B$5:$B$500,B145,$A$5:$A$500,"&lt;="&amp;A145)-SUMIFS($I$5:$I$500,$B$5:$B$500,B145,$A$5:$A$500,"&lt;="&amp;A145))</x:f>
        <x:v>5</x:v>
      </x:c>
      <x:c r="K145" s="30" t="str">
        <x:f>IF(B145="","",IF(J145&lt;=0,"ESGOTADO",IF(J145&lt;=Config!$H$2,"SALDO CRÍTICO",IF(J145&lt;=Config!$H$3,"SALDO BAIXO","OK"))))</x:f>
        <x:v>OK</x:v>
      </x:c>
      <x:c r="L145" s="34" t="str"/>
      <x:c r="M145" s="30" t="str">
        <x:v>KORANGI</x:v>
      </x:c>
    </x:row>
    <x:row r="146">
      <x:c r="A146" s="30" t="n">
        <x:v>142</x:v>
      </x:c>
      <x:c r="B146" s="30" t="str">
        <x:v>KORANGI</x:v>
      </x:c>
      <x:c r="C146" s="32" t="n">
        <x:v>45918</x:v>
      </x:c>
      <x:c r="D146" s="30" t="str">
        <x:v>Intervenção</x:v>
      </x:c>
      <x:c r="E146" s="30" t="str"/>
      <x:c r="F146" s="30" t="str"/>
      <x:c r="G146" s="30" t="str">
        <x:v>Assistencia no novo escritorio</x:v>
      </x:c>
      <x:c r="H146" s="34" t="str"/>
      <x:c r="I146" s="34" t="n">
        <x:v>2</x:v>
      </x:c>
      <x:c r="J146" s="34" t="n">
        <x:f>IF(B146="","",SUMIFS($H$5:$H$500,$B$5:$B$500,B146,$A$5:$A$500,"&lt;="&amp;A146)-SUMIFS($I$5:$I$500,$B$5:$B$500,B146,$A$5:$A$500,"&lt;="&amp;A146))</x:f>
        <x:v>3</x:v>
      </x:c>
      <x:c r="K146" s="30" t="str">
        <x:f>IF(B146="","",IF(J146&lt;=0,"ESGOTADO",IF(J146&lt;=Config!$H$2,"SALDO CRÍTICO",IF(J146&lt;=Config!$H$3,"SALDO BAIXO","OK"))))</x:f>
        <x:v>OK</x:v>
      </x:c>
      <x:c r="L146" s="34" t="str"/>
      <x:c r="M146" s="30" t="str">
        <x:v>KORANGI</x:v>
      </x:c>
    </x:row>
    <x:row r="147">
      <x:c r="A147" s="30" t="n">
        <x:v>143</x:v>
      </x:c>
      <x:c r="B147" s="30" t="str">
        <x:v>LAMEGO&amp;ASSOC.</x:v>
      </x:c>
      <x:c r="C147" s="32" t="n">
        <x:v>45513</x:v>
      </x:c>
      <x:c r="D147" s="30" t="str">
        <x:v>Compra</x:v>
      </x:c>
      <x:c r="E147" s="30" t="str"/>
      <x:c r="F147" s="30" t="str"/>
      <x:c r="G147" s="30" t="str">
        <x:v>Aquisição/Saldo inicial pack (arquivo)</x:v>
      </x:c>
      <x:c r="H147" s="34" t="n">
        <x:v>5</x:v>
      </x:c>
      <x:c r="I147" s="34" t="str"/>
      <x:c r="J147" s="34" t="n">
        <x:f>IF(B147="","",SUMIFS($H$5:$H$500,$B$5:$B$500,B147,$A$5:$A$500,"&lt;="&amp;A147)-SUMIFS($I$5:$I$500,$B$5:$B$500,B147,$A$5:$A$500,"&lt;="&amp;A147))</x:f>
        <x:v>5</x:v>
      </x:c>
      <x:c r="K147" s="30" t="str">
        <x:f>IF(B147="","",IF(J147&lt;=0,"ESGOTADO",IF(J147&lt;=Config!$H$2,"SALDO CRÍTICO",IF(J147&lt;=Config!$H$3,"SALDO BAIXO","OK"))))</x:f>
        <x:v>OK</x:v>
      </x:c>
      <x:c r="L147" s="34" t="str"/>
      <x:c r="M147" s="30" t="str">
        <x:v>LAMEGO&amp;ASSOC.</x:v>
      </x:c>
    </x:row>
    <x:row r="148">
      <x:c r="A148" s="30" t="n">
        <x:v>144</x:v>
      </x:c>
      <x:c r="B148" s="30" t="str">
        <x:v>LARANJEIRA DENTAL CLINIC</x:v>
      </x:c>
      <x:c r="C148" s="32" t="n">
        <x:v>45995</x:v>
      </x:c>
      <x:c r="D148" s="30" t="str">
        <x:v>Compra</x:v>
      </x:c>
      <x:c r="E148" s="30" t="str"/>
      <x:c r="F148" s="30" t="str"/>
      <x:c r="G148" s="30" t="str">
        <x:v>Aquisição/Saldo inicial pack (arquivo)</x:v>
      </x:c>
      <x:c r="H148" s="34" t="n">
        <x:v>10</x:v>
      </x:c>
      <x:c r="I148" s="34" t="str"/>
      <x:c r="J148" s="34" t="n">
        <x:f>IF(B148="","",SUMIFS($H$5:$H$500,$B$5:$B$500,B148,$A$5:$A$500,"&lt;="&amp;A148)-SUMIFS($I$5:$I$500,$B$5:$B$500,B148,$A$5:$A$500,"&lt;="&amp;A148))</x:f>
        <x:v>10</x:v>
      </x:c>
      <x:c r="K148" s="30" t="str">
        <x:f>IF(B148="","",IF(J148&lt;=0,"ESGOTADO",IF(J148&lt;=Config!$H$2,"SALDO CRÍTICO",IF(J148&lt;=Config!$H$3,"SALDO BAIXO","OK"))))</x:f>
        <x:v>OK</x:v>
      </x:c>
      <x:c r="L148" s="34" t="str"/>
      <x:c r="M148" s="30" t="str">
        <x:v>LARANJEIRA DENTAL CLINIC</x:v>
      </x:c>
    </x:row>
    <x:row r="149">
      <x:c r="A149" s="30" t="n">
        <x:v>145</x:v>
      </x:c>
      <x:c r="B149" s="30" t="str">
        <x:v>LARANJEIRA DENTAL CLINIC</x:v>
      </x:c>
      <x:c r="C149" s="32" t="n">
        <x:v>45995</x:v>
      </x:c>
      <x:c r="D149" s="30" t="str">
        <x:v>Intervenção</x:v>
      </x:c>
      <x:c r="E149" s="30" t="str"/>
      <x:c r="F149" s="30" t="str"/>
      <x:c r="G149" s="30" t="str">
        <x:v>Cabo de Rede RAIO-X</x:v>
      </x:c>
      <x:c r="H149" s="34" t="str"/>
      <x:c r="I149" s="34" t="n">
        <x:v>1</x:v>
      </x:c>
      <x:c r="J149" s="34" t="n">
        <x:f>IF(B149="","",SUMIFS($H$5:$H$500,$B$5:$B$500,B149,$A$5:$A$500,"&lt;="&amp;A149)-SUMIFS($I$5:$I$500,$B$5:$B$500,B149,$A$5:$A$500,"&lt;="&amp;A149))</x:f>
        <x:v>9</x:v>
      </x:c>
      <x:c r="K149" s="30" t="str">
        <x:f>IF(B149="","",IF(J149&lt;=0,"ESGOTADO",IF(J149&lt;=Config!$H$2,"SALDO CRÍTICO",IF(J149&lt;=Config!$H$3,"SALDO BAIXO","OK"))))</x:f>
        <x:v>OK</x:v>
      </x:c>
      <x:c r="L149" s="34" t="str"/>
      <x:c r="M149" s="30" t="str">
        <x:v>LARANJEIRA DENTAL CLINIC</x:v>
      </x:c>
    </x:row>
    <x:row r="150">
      <x:c r="A150" s="30" t="n">
        <x:v>146</x:v>
      </x:c>
      <x:c r="B150" s="30" t="str">
        <x:v>Luiz Godinho Lopes</x:v>
      </x:c>
      <x:c r="C150" s="32" t="n">
        <x:v>45414</x:v>
      </x:c>
      <x:c r="D150" s="30" t="str">
        <x:v>Intervenção</x:v>
      </x:c>
      <x:c r="E150" s="30" t="str">
        <x:v>Luiz Godinho Lopes</x:v>
      </x:c>
      <x:c r="F150" s="30" t="str">
        <x:v>ClickStop</x:v>
      </x:c>
      <x:c r="G150" s="30" t="str">
        <x:v>Tempo com Luis Godinho Lopes</x:v>
      </x:c>
      <x:c r="H150" s="34" t="str"/>
      <x:c r="I150" s="34" t="n">
        <x:v>1</x:v>
      </x:c>
      <x:c r="J150" s="34" t="n">
        <x:f>IF(B150="","",SUMIFS($H$5:$H$500,$B$5:$B$500,B150,$A$5:$A$500,"&lt;="&amp;A150)-SUMIFS($I$5:$I$500,$B$5:$B$500,B150,$A$5:$A$500,"&lt;="&amp;A150))</x:f>
        <x:v>-1</x:v>
      </x:c>
      <x:c r="K150" s="30" t="str">
        <x:f>IF(B150="","",IF(J150&lt;=0,"ESGOTADO",IF(J150&lt;=Config!$H$2,"SALDO CRÍTICO",IF(J150&lt;=Config!$H$3,"SALDO BAIXO","OK"))))</x:f>
        <x:v>ESGOTADO</x:v>
      </x:c>
      <x:c r="L150" s="34" t="n">
        <x:v>4</x:v>
      </x:c>
      <x:c r="M150" s="30" t="str">
        <x:v>Luiz Godinho Lopes</x:v>
      </x:c>
    </x:row>
    <x:row r="151">
      <x:c r="A151" s="30" t="n">
        <x:v>147</x:v>
      </x:c>
      <x:c r="B151" s="30" t="str">
        <x:v>Luiz Godinho Lopes</x:v>
      </x:c>
      <x:c r="C151" s="32" t="n">
        <x:v>45415</x:v>
      </x:c>
      <x:c r="D151" s="30" t="str">
        <x:v>Intervenção</x:v>
      </x:c>
      <x:c r="E151" s="30" t="str">
        <x:v>Luiz Godinho Lopes</x:v>
      </x:c>
      <x:c r="F151" s="30" t="str">
        <x:v>ClickStop</x:v>
      </x:c>
      <x:c r="G151" s="30" t="str">
        <x:v>Assistência Remota iMac Estoril Luiz</x:v>
      </x:c>
      <x:c r="H151" s="34" t="str"/>
      <x:c r="I151" s="34" t="n">
        <x:v>0.5</x:v>
      </x:c>
      <x:c r="J151" s="34" t="n">
        <x:f>IF(B151="","",SUMIFS($H$5:$H$500,$B$5:$B$500,B151,$A$5:$A$500,"&lt;="&amp;A151)-SUMIFS($I$5:$I$500,$B$5:$B$500,B151,$A$5:$A$500,"&lt;="&amp;A151))</x:f>
        <x:v>-1.5</x:v>
      </x:c>
      <x:c r="K151" s="30" t="str">
        <x:f>IF(B151="","",IF(J151&lt;=0,"ESGOTADO",IF(J151&lt;=Config!$H$2,"SALDO CRÍTICO",IF(J151&lt;=Config!$H$3,"SALDO BAIXO","OK"))))</x:f>
        <x:v>ESGOTADO</x:v>
      </x:c>
      <x:c r="L151" s="34" t="n">
        <x:v>3.5</x:v>
      </x:c>
      <x:c r="M151" s="30" t="str">
        <x:v>Luiz Godinho Lopes</x:v>
      </x:c>
    </x:row>
    <x:row r="152">
      <x:c r="A152" s="30" t="n">
        <x:v>148</x:v>
      </x:c>
      <x:c r="B152" s="30" t="str">
        <x:v>Luiz Godinho Lopes</x:v>
      </x:c>
      <x:c r="C152" s="32" t="n">
        <x:v>45418</x:v>
      </x:c>
      <x:c r="D152" s="30" t="str">
        <x:v>Compra</x:v>
      </x:c>
      <x:c r="E152" s="30" t="str"/>
      <x:c r="F152" s="30" t="str"/>
      <x:c r="G152" s="30" t="str">
        <x:v>Aquisição Pack 5 Horas</x:v>
      </x:c>
      <x:c r="H152" s="34" t="n">
        <x:v>5</x:v>
      </x:c>
      <x:c r="I152" s="34" t="str"/>
      <x:c r="J152" s="34" t="n">
        <x:f>IF(B152="","",SUMIFS($H$5:$H$500,$B$5:$B$500,B152,$A$5:$A$500,"&lt;="&amp;A152)-SUMIFS($I$5:$I$500,$B$5:$B$500,B152,$A$5:$A$500,"&lt;="&amp;A152))</x:f>
        <x:v>3.5</x:v>
      </x:c>
      <x:c r="K152" s="30" t="str">
        <x:f>IF(B152="","",IF(J152&lt;=0,"ESGOTADO",IF(J152&lt;=Config!$H$2,"SALDO CRÍTICO",IF(J152&lt;=Config!$H$3,"SALDO BAIXO","OK"))))</x:f>
        <x:v>OK</x:v>
      </x:c>
      <x:c r="L152" s="34" t="n">
        <x:v>5</x:v>
      </x:c>
      <x:c r="M152" s="30" t="str">
        <x:v>Luiz Godinho Lopes</x:v>
      </x:c>
    </x:row>
    <x:row r="153">
      <x:c r="A153" s="30" t="n">
        <x:v>149</x:v>
      </x:c>
      <x:c r="B153" s="30" t="str">
        <x:v>Luiz Godinho Lopes</x:v>
      </x:c>
      <x:c r="C153" s="32" t="n">
        <x:v>45497</x:v>
      </x:c>
      <x:c r="D153" s="30" t="str">
        <x:v>Intervenção</x:v>
      </x:c>
      <x:c r="E153" s="30" t="str">
        <x:v>Luiz Godinho Lopes</x:v>
      </x:c>
      <x:c r="F153" s="30" t="str">
        <x:v>ClickStop</x:v>
      </x:c>
      <x:c r="G153" s="30" t="str">
        <x:v>Formatar iMac Luis (apagou e bloqueou iMac)</x:v>
      </x:c>
      <x:c r="H153" s="34" t="str"/>
      <x:c r="I153" s="34" t="n">
        <x:v>1.5</x:v>
      </x:c>
      <x:c r="J153" s="34" t="n">
        <x:f>IF(B153="","",SUMIFS($H$5:$H$500,$B$5:$B$500,B153,$A$5:$A$500,"&lt;="&amp;A153)-SUMIFS($I$5:$I$500,$B$5:$B$500,B153,$A$5:$A$500,"&lt;="&amp;A153))</x:f>
        <x:v>2</x:v>
      </x:c>
      <x:c r="K153" s="30" t="str">
        <x:f>IF(B153="","",IF(J153&lt;=0,"ESGOTADO",IF(J153&lt;=Config!$H$2,"SALDO CRÍTICO",IF(J153&lt;=Config!$H$3,"SALDO BAIXO","OK"))))</x:f>
        <x:v>SALDO BAIXO</x:v>
      </x:c>
      <x:c r="L153" s="34" t="n">
        <x:v>2</x:v>
      </x:c>
      <x:c r="M153" s="30" t="str">
        <x:v>Luiz Godinho Lopes</x:v>
      </x:c>
    </x:row>
    <x:row r="154">
      <x:c r="A154" s="30" t="n">
        <x:v>150</x:v>
      </x:c>
      <x:c r="B154" s="30" t="str">
        <x:v>Luiz Godinho Lopes</x:v>
      </x:c>
      <x:c r="C154" s="32" t="n">
        <x:v>45499</x:v>
      </x:c>
      <x:c r="D154" s="30" t="str">
        <x:v>Intervenção</x:v>
      </x:c>
      <x:c r="E154" s="30" t="str">
        <x:v>Luiz Godinho Lopes</x:v>
      </x:c>
      <x:c r="F154" s="30" t="str">
        <x:v>ClickStop</x:v>
      </x:c>
      <x:c r="G154" s="30" t="str">
        <x:v>Formatar iMac Luis (apagou e bloqueou iMac)</x:v>
      </x:c>
      <x:c r="H154" s="34" t="str"/>
      <x:c r="I154" s="34" t="n">
        <x:v>1.5</x:v>
      </x:c>
      <x:c r="J154" s="34" t="n">
        <x:f>IF(B154="","",SUMIFS($H$5:$H$500,$B$5:$B$500,B154,$A$5:$A$500,"&lt;="&amp;A154)-SUMIFS($I$5:$I$500,$B$5:$B$500,B154,$A$5:$A$500,"&lt;="&amp;A154))</x:f>
        <x:v>0.5</x:v>
      </x:c>
      <x:c r="K154" s="30" t="str">
        <x:f>IF(B154="","",IF(J154&lt;=0,"ESGOTADO",IF(J154&lt;=Config!$H$2,"SALDO CRÍTICO",IF(J154&lt;=Config!$H$3,"SALDO BAIXO","OK"))))</x:f>
        <x:v>SALDO CRÍTICO</x:v>
      </x:c>
      <x:c r="L154" s="34" t="n">
        <x:v>0.5</x:v>
      </x:c>
      <x:c r="M154" s="30" t="str">
        <x:v>Luiz Godinho Lopes</x:v>
      </x:c>
    </x:row>
    <x:row r="155">
      <x:c r="A155" s="30" t="n">
        <x:v>151</x:v>
      </x:c>
      <x:c r="B155" s="30" t="str">
        <x:v>Luiz Godinho Lopes</x:v>
      </x:c>
      <x:c r="C155" s="32" t="n">
        <x:v>45511</x:v>
      </x:c>
      <x:c r="D155" s="30" t="str">
        <x:v>Intervenção</x:v>
      </x:c>
      <x:c r="E155" s="30" t="str">
        <x:v>Luiz Godinho Lopes</x:v>
      </x:c>
      <x:c r="F155" s="30" t="str">
        <x:v>ClickStop</x:v>
      </x:c>
      <x:c r="G155" s="30" t="str">
        <x:v>Assistência na casa Luis - tirar 3 duvidas</x:v>
      </x:c>
      <x:c r="H155" s="34" t="str"/>
      <x:c r="I155" s="34" t="n">
        <x:v>1</x:v>
      </x:c>
      <x:c r="J155" s="34" t="n">
        <x:f>IF(B155="","",SUMIFS($H$5:$H$500,$B$5:$B$500,B155,$A$5:$A$500,"&lt;="&amp;A155)-SUMIFS($I$5:$I$500,$B$5:$B$500,B155,$A$5:$A$500,"&lt;="&amp;A155))</x:f>
        <x:v>-0.5</x:v>
      </x:c>
      <x:c r="K155" s="30" t="str">
        <x:f>IF(B155="","",IF(J155&lt;=0,"ESGOTADO",IF(J155&lt;=Config!$H$2,"SALDO CRÍTICO",IF(J155&lt;=Config!$H$3,"SALDO BAIXO","OK"))))</x:f>
        <x:v>ESGOTADO</x:v>
      </x:c>
      <x:c r="L155" s="34" t="n">
        <x:v>-0.5</x:v>
      </x:c>
      <x:c r="M155" s="30" t="str">
        <x:v>Luiz Godinho Lopes</x:v>
      </x:c>
    </x:row>
    <x:row r="156">
      <x:c r="A156" s="30" t="n">
        <x:v>152</x:v>
      </x:c>
      <x:c r="B156" s="30" t="str">
        <x:v>Luiz Godinho Lopes</x:v>
      </x:c>
      <x:c r="C156" s="32" t="n">
        <x:v>45722</x:v>
      </x:c>
      <x:c r="D156" s="30" t="str">
        <x:v>Intervenção</x:v>
      </x:c>
      <x:c r="E156" s="30" t="str">
        <x:v>Luiz Godinho Lopes</x:v>
      </x:c>
      <x:c r="F156" s="30" t="str">
        <x:v>ClickStop</x:v>
      </x:c>
      <x:c r="G156" s="30" t="str">
        <x:v>Assistência na casa Luis - colocar RAM</x:v>
      </x:c>
      <x:c r="H156" s="34" t="str"/>
      <x:c r="I156" s="34" t="n">
        <x:v>1</x:v>
      </x:c>
      <x:c r="J156" s="34" t="n">
        <x:f>IF(B156="","",SUMIFS($H$5:$H$500,$B$5:$B$500,B156,$A$5:$A$500,"&lt;="&amp;A156)-SUMIFS($I$5:$I$500,$B$5:$B$500,B156,$A$5:$A$500,"&lt;="&amp;A156))</x:f>
        <x:v>-1.5</x:v>
      </x:c>
      <x:c r="K156" s="30" t="str">
        <x:f>IF(B156="","",IF(J156&lt;=0,"ESGOTADO",IF(J156&lt;=Config!$H$2,"SALDO CRÍTICO",IF(J156&lt;=Config!$H$3,"SALDO BAIXO","OK"))))</x:f>
        <x:v>ESGOTADO</x:v>
      </x:c>
      <x:c r="L156" s="34" t="n">
        <x:v>-1.5</x:v>
      </x:c>
      <x:c r="M156" s="30" t="str">
        <x:v>Luiz Godinho Lopes</x:v>
      </x:c>
    </x:row>
    <x:row r="157">
      <x:c r="A157" s="30" t="n">
        <x:v>153</x:v>
      </x:c>
      <x:c r="B157" s="30" t="str">
        <x:v>Luiz Godinho Lopes</x:v>
      </x:c>
      <x:c r="C157" s="32" t="n">
        <x:v>45744</x:v>
      </x:c>
      <x:c r="D157" s="30" t="str">
        <x:v>Intervenção</x:v>
      </x:c>
      <x:c r="E157" s="30" t="str">
        <x:v>Luiz Godinho Lopes</x:v>
      </x:c>
      <x:c r="F157" s="30" t="str">
        <x:v>ClickStop</x:v>
      </x:c>
      <x:c r="G157" s="30" t="str">
        <x:v>Assistência na casa Luis - tirar 6 duvidas</x:v>
      </x:c>
      <x:c r="H157" s="34" t="str"/>
      <x:c r="I157" s="34" t="n">
        <x:v>1</x:v>
      </x:c>
      <x:c r="J157" s="34" t="n">
        <x:f>IF(B157="","",SUMIFS($H$5:$H$500,$B$5:$B$500,B157,$A$5:$A$500,"&lt;="&amp;A157)-SUMIFS($I$5:$I$500,$B$5:$B$500,B157,$A$5:$A$500,"&lt;="&amp;A157))</x:f>
        <x:v>-2.5</x:v>
      </x:c>
      <x:c r="K157" s="30" t="str">
        <x:f>IF(B157="","",IF(J157&lt;=0,"ESGOTADO",IF(J157&lt;=Config!$H$2,"SALDO CRÍTICO",IF(J157&lt;=Config!$H$3,"SALDO BAIXO","OK"))))</x:f>
        <x:v>ESGOTADO</x:v>
      </x:c>
      <x:c r="L157" s="34" t="n">
        <x:v>-2.5</x:v>
      </x:c>
      <x:c r="M157" s="30" t="str">
        <x:v>Luiz Godinho Lopes</x:v>
      </x:c>
    </x:row>
    <x:row r="158">
      <x:c r="A158" s="30" t="n">
        <x:v>154</x:v>
      </x:c>
      <x:c r="B158" s="30" t="str">
        <x:v>Luiz Godinho Lopes</x:v>
      </x:c>
      <x:c r="C158" s="32" t="n">
        <x:v>45834</x:v>
      </x:c>
      <x:c r="D158" s="30" t="str">
        <x:v>Compra</x:v>
      </x:c>
      <x:c r="E158" s="30" t="str"/>
      <x:c r="F158" s="30" t="str"/>
      <x:c r="G158" s="30" t="str">
        <x:v>Aquisição Pack 10 Horas</x:v>
      </x:c>
      <x:c r="H158" s="34" t="n">
        <x:v>10</x:v>
      </x:c>
      <x:c r="I158" s="34" t="str"/>
      <x:c r="J158" s="34" t="n">
        <x:f>IF(B158="","",SUMIFS($H$5:$H$500,$B$5:$B$500,B158,$A$5:$A$500,"&lt;="&amp;A158)-SUMIFS($I$5:$I$500,$B$5:$B$500,B158,$A$5:$A$500,"&lt;="&amp;A158))</x:f>
        <x:v>7.5</x:v>
      </x:c>
      <x:c r="K158" s="30" t="str">
        <x:f>IF(B158="","",IF(J158&lt;=0,"ESGOTADO",IF(J158&lt;=Config!$H$2,"SALDO CRÍTICO",IF(J158&lt;=Config!$H$3,"SALDO BAIXO","OK"))))</x:f>
        <x:v>OK</x:v>
      </x:c>
      <x:c r="L158" s="34" t="n">
        <x:v>10</x:v>
      </x:c>
      <x:c r="M158" s="30" t="str">
        <x:v>Luiz Godinho Lopes</x:v>
      </x:c>
    </x:row>
    <x:row r="159">
      <x:c r="A159" s="30" t="n">
        <x:v>155</x:v>
      </x:c>
      <x:c r="B159" s="30" t="str">
        <x:v>Luiz Godinho Lopes</x:v>
      </x:c>
      <x:c r="C159" s="32" t="n">
        <x:v>45862</x:v>
      </x:c>
      <x:c r="D159" s="30" t="str">
        <x:v>Intervenção</x:v>
      </x:c>
      <x:c r="E159" s="30" t="str">
        <x:v>Luiz Godinho Lopes</x:v>
      </x:c>
      <x:c r="F159" s="30" t="str">
        <x:v>ClickStop</x:v>
      </x:c>
      <x:c r="G159" s="30" t="str">
        <x:v>Recolha e entrega teclado novo + UPS Luis</x:v>
      </x:c>
      <x:c r="H159" s="34" t="str"/>
      <x:c r="I159" s="34" t="n">
        <x:v>1</x:v>
      </x:c>
      <x:c r="J159" s="34" t="n">
        <x:f>IF(B159="","",SUMIFS($H$5:$H$500,$B$5:$B$500,B159,$A$5:$A$500,"&lt;="&amp;A159)-SUMIFS($I$5:$I$500,$B$5:$B$500,B159,$A$5:$A$500,"&lt;="&amp;A159))</x:f>
        <x:v>6.5</x:v>
      </x:c>
      <x:c r="K159" s="30" t="str">
        <x:f>IF(B159="","",IF(J159&lt;=0,"ESGOTADO",IF(J159&lt;=Config!$H$2,"SALDO CRÍTICO",IF(J159&lt;=Config!$H$3,"SALDO BAIXO","OK"))))</x:f>
        <x:v>OK</x:v>
      </x:c>
      <x:c r="L159" s="34" t="n">
        <x:v>6.5</x:v>
      </x:c>
      <x:c r="M159" s="30" t="str">
        <x:v>Luiz Godinho Lopes</x:v>
      </x:c>
    </x:row>
    <x:row r="160">
      <x:c r="A160" s="30" t="n">
        <x:v>156</x:v>
      </x:c>
      <x:c r="B160" s="30" t="str">
        <x:v>MARTIM CABRAL</x:v>
      </x:c>
      <x:c r="C160" s="32" t="n">
        <x:v>45579</x:v>
      </x:c>
      <x:c r="D160" s="30" t="str">
        <x:v>Compra</x:v>
      </x:c>
      <x:c r="E160" s="30" t="str"/>
      <x:c r="F160" s="30" t="str"/>
      <x:c r="G160" s="30" t="str">
        <x:v>Aquisição Pack 5 Horas</x:v>
      </x:c>
      <x:c r="H160" s="34" t="n">
        <x:v>5</x:v>
      </x:c>
      <x:c r="I160" s="34" t="str"/>
      <x:c r="J160" s="34" t="n">
        <x:f>IF(B160="","",SUMIFS($H$5:$H$500,$B$5:$B$500,B160,$A$5:$A$500,"&lt;="&amp;A160)-SUMIFS($I$5:$I$500,$B$5:$B$500,B160,$A$5:$A$500,"&lt;="&amp;A160))</x:f>
        <x:v>5</x:v>
      </x:c>
      <x:c r="K160" s="30" t="str">
        <x:f>IF(B160="","",IF(J160&lt;=0,"ESGOTADO",IF(J160&lt;=Config!$H$2,"SALDO CRÍTICO",IF(J160&lt;=Config!$H$3,"SALDO BAIXO","OK"))))</x:f>
        <x:v>OK</x:v>
      </x:c>
      <x:c r="L160" s="34" t="n">
        <x:v>5</x:v>
      </x:c>
      <x:c r="M160" s="30" t="str">
        <x:v>MARTIM CABRAL</x:v>
      </x:c>
    </x:row>
    <x:row r="161">
      <x:c r="A161" s="30" t="n">
        <x:v>157</x:v>
      </x:c>
      <x:c r="B161" s="30" t="str">
        <x:v>MARTIM CABRAL</x:v>
      </x:c>
      <x:c r="C161" s="32" t="n">
        <x:v>45642</x:v>
      </x:c>
      <x:c r="D161" s="30" t="str">
        <x:v>Intervenção</x:v>
      </x:c>
      <x:c r="E161" s="30" t="str">
        <x:v>Martim Cabral</x:v>
      </x:c>
      <x:c r="F161" s="30" t="str">
        <x:v>Luis Lopes</x:v>
      </x:c>
      <x:c r="G161" s="30" t="str">
        <x:v>Ajuda na Loja com o email</x:v>
      </x:c>
      <x:c r="H161" s="34" t="str"/>
      <x:c r="I161" s="34" t="n">
        <x:v>1</x:v>
      </x:c>
      <x:c r="J161" s="34" t="n">
        <x:f>IF(B161="","",SUMIFS($H$5:$H$500,$B$5:$B$500,B161,$A$5:$A$500,"&lt;="&amp;A161)-SUMIFS($I$5:$I$500,$B$5:$B$500,B161,$A$5:$A$500,"&lt;="&amp;A161))</x:f>
        <x:v>4</x:v>
      </x:c>
      <x:c r="K161" s="30" t="str">
        <x:f>IF(B161="","",IF(J161&lt;=0,"ESGOTADO",IF(J161&lt;=Config!$H$2,"SALDO CRÍTICO",IF(J161&lt;=Config!$H$3,"SALDO BAIXO","OK"))))</x:f>
        <x:v>OK</x:v>
      </x:c>
      <x:c r="L161" s="34" t="n">
        <x:v>4</x:v>
      </x:c>
      <x:c r="M161" s="30" t="str">
        <x:v>MARTIM CABRAL</x:v>
      </x:c>
    </x:row>
    <x:row r="162">
      <x:c r="A162" s="30" t="n">
        <x:v>158</x:v>
      </x:c>
      <x:c r="B162" s="30" t="str">
        <x:v>MARTIM CABRAL</x:v>
      </x:c>
      <x:c r="C162" s="32" t="n">
        <x:v>45712</x:v>
      </x:c>
      <x:c r="D162" s="30" t="str">
        <x:v>Intervenção</x:v>
      </x:c>
      <x:c r="E162" s="30" t="str">
        <x:v>Martim Cabral</x:v>
      </x:c>
      <x:c r="F162" s="30" t="str">
        <x:v>Luis Lopes</x:v>
      </x:c>
      <x:c r="G162" s="30" t="str">
        <x:v>Assistência Remota para resolver problema com Gmail</x:v>
      </x:c>
      <x:c r="H162" s="34" t="str"/>
      <x:c r="I162" s="34" t="n">
        <x:v>0.5</x:v>
      </x:c>
      <x:c r="J162" s="34" t="n">
        <x:f>IF(B162="","",SUMIFS($H$5:$H$500,$B$5:$B$500,B162,$A$5:$A$500,"&lt;="&amp;A162)-SUMIFS($I$5:$I$500,$B$5:$B$500,B162,$A$5:$A$500,"&lt;="&amp;A162))</x:f>
        <x:v>3.5</x:v>
      </x:c>
      <x:c r="K162" s="30" t="str">
        <x:f>IF(B162="","",IF(J162&lt;=0,"ESGOTADO",IF(J162&lt;=Config!$H$2,"SALDO CRÍTICO",IF(J162&lt;=Config!$H$3,"SALDO BAIXO","OK"))))</x:f>
        <x:v>OK</x:v>
      </x:c>
      <x:c r="L162" s="34" t="n">
        <x:v>3.5</x:v>
      </x:c>
      <x:c r="M162" s="30" t="str">
        <x:v>MARTIM CABRAL</x:v>
      </x:c>
    </x:row>
    <x:row r="163">
      <x:c r="A163" s="30" t="n">
        <x:v>159</x:v>
      </x:c>
      <x:c r="B163" s="30" t="str">
        <x:v>MARTIM CABRAL</x:v>
      </x:c>
      <x:c r="C163" s="32" t="n">
        <x:v>45713</x:v>
      </x:c>
      <x:c r="D163" s="30" t="str">
        <x:v>Intervenção</x:v>
      </x:c>
      <x:c r="E163" s="30" t="str">
        <x:v>Martim Cabral</x:v>
      </x:c>
      <x:c r="F163" s="30" t="str">
        <x:v>Ivan Lopes</x:v>
      </x:c>
      <x:c r="G163" s="30" t="str">
        <x:v>Instalação de equipamentos Decos em casa</x:v>
      </x:c>
      <x:c r="H163" s="34" t="str"/>
      <x:c r="I163" s="34" t="n">
        <x:v>1.5</x:v>
      </x:c>
      <x:c r="J163" s="34" t="n">
        <x:f>IF(B163="","",SUMIFS($H$5:$H$500,$B$5:$B$500,B163,$A$5:$A$500,"&lt;="&amp;A163)-SUMIFS($I$5:$I$500,$B$5:$B$500,B163,$A$5:$A$500,"&lt;="&amp;A163))</x:f>
        <x:v>2</x:v>
      </x:c>
      <x:c r="K163" s="30" t="str">
        <x:f>IF(B163="","",IF(J163&lt;=0,"ESGOTADO",IF(J163&lt;=Config!$H$2,"SALDO CRÍTICO",IF(J163&lt;=Config!$H$3,"SALDO BAIXO","OK"))))</x:f>
        <x:v>SALDO BAIXO</x:v>
      </x:c>
      <x:c r="L163" s="34" t="n">
        <x:v>2</x:v>
      </x:c>
      <x:c r="M163" s="30" t="str">
        <x:v>MARTIM CABRAL</x:v>
      </x:c>
    </x:row>
    <x:row r="164">
      <x:c r="A164" s="30" t="n">
        <x:v>160</x:v>
      </x:c>
      <x:c r="B164" s="30" t="str">
        <x:v>MARTIM CABRAL</x:v>
      </x:c>
      <x:c r="C164" s="32" t="n">
        <x:v>45748</x:v>
      </x:c>
      <x:c r="D164" s="30" t="str">
        <x:v>Intervenção</x:v>
      </x:c>
      <x:c r="E164" s="30" t="str">
        <x:v>Martim Cabral</x:v>
      </x:c>
      <x:c r="F164" s="30" t="str">
        <x:v>Luis Lopes</x:v>
      </x:c>
      <x:c r="G164" s="30" t="str">
        <x:v>Assistência Remota com impressora do Martim</x:v>
      </x:c>
      <x:c r="H164" s="34" t="str"/>
      <x:c r="I164" s="34" t="n">
        <x:v>0.5</x:v>
      </x:c>
      <x:c r="J164" s="34" t="n">
        <x:f>IF(B164="","",SUMIFS($H$5:$H$500,$B$5:$B$500,B164,$A$5:$A$500,"&lt;="&amp;A164)-SUMIFS($I$5:$I$500,$B$5:$B$500,B164,$A$5:$A$500,"&lt;="&amp;A164))</x:f>
        <x:v>1.5</x:v>
      </x:c>
      <x:c r="K164" s="30" t="str">
        <x:f>IF(B164="","",IF(J164&lt;=0,"ESGOTADO",IF(J164&lt;=Config!$H$2,"SALDO CRÍTICO",IF(J164&lt;=Config!$H$3,"SALDO BAIXO","OK"))))</x:f>
        <x:v>SALDO BAIXO</x:v>
      </x:c>
      <x:c r="L164" s="34" t="n">
        <x:v>1.5</x:v>
      </x:c>
      <x:c r="M164" s="30" t="str">
        <x:v>MARTIM CABRAL</x:v>
      </x:c>
    </x:row>
    <x:row r="165">
      <x:c r="A165" s="30" t="n">
        <x:v>161</x:v>
      </x:c>
      <x:c r="B165" s="30" t="str">
        <x:v>MARTIM CABRAL</x:v>
      </x:c>
      <x:c r="C165" s="32" t="n">
        <x:v>46111</x:v>
      </x:c>
      <x:c r="D165" s="30" t="str">
        <x:v>Intervenção</x:v>
      </x:c>
      <x:c r="E165" s="30" t="str">
        <x:v>Martim Cabral</x:v>
      </x:c>
      <x:c r="F165" s="30" t="str">
        <x:v>Ivan Lopes</x:v>
      </x:c>
      <x:c r="G165" s="30" t="str">
        <x:v>Ver TV e soundbar em casa</x:v>
      </x:c>
      <x:c r="H165" s="34" t="str"/>
      <x:c r="I165" s="34" t="n">
        <x:v>1</x:v>
      </x:c>
      <x:c r="J165" s="34" t="n">
        <x:f>IF(B165="","",SUMIFS($H$5:$H$500,$B$5:$B$500,B165,$A$5:$A$500,"&lt;="&amp;A165)-SUMIFS($I$5:$I$500,$B$5:$B$500,B165,$A$5:$A$500,"&lt;="&amp;A165))</x:f>
        <x:v>0.5</x:v>
      </x:c>
      <x:c r="K165" s="30" t="str">
        <x:f>IF(B165="","",IF(J165&lt;=0,"ESGOTADO",IF(J165&lt;=Config!$H$2,"SALDO CRÍTICO",IF(J165&lt;=Config!$H$3,"SALDO BAIXO","OK"))))</x:f>
        <x:v>SALDO CRÍTICO</x:v>
      </x:c>
      <x:c r="L165" s="34" t="n">
        <x:v>0.5</x:v>
      </x:c>
      <x:c r="M165" s="30" t="str">
        <x:v>MARTIM CABRAL</x:v>
      </x:c>
    </x:row>
    <x:row r="166">
      <x:c r="A166" s="30" t="n">
        <x:v>162</x:v>
      </x:c>
      <x:c r="B166" s="30" t="str">
        <x:v>MASTER CAPITAL - Unipessoal Lda</x:v>
      </x:c>
      <x:c r="C166" s="32" t="n">
        <x:v>45334</x:v>
      </x:c>
      <x:c r="D166" s="30" t="str">
        <x:v>Compra</x:v>
      </x:c>
      <x:c r="E166" s="30" t="str"/>
      <x:c r="F166" s="30" t="str"/>
      <x:c r="G166" s="30" t="str">
        <x:v>Aquisição Pack 5 Horas</x:v>
      </x:c>
      <x:c r="H166" s="34" t="n">
        <x:v>5</x:v>
      </x:c>
      <x:c r="I166" s="34" t="str"/>
      <x:c r="J166" s="34" t="n">
        <x:f>IF(B166="","",SUMIFS($H$5:$H$500,$B$5:$B$500,B166,$A$5:$A$500,"&lt;="&amp;A166)-SUMIFS($I$5:$I$500,$B$5:$B$500,B166,$A$5:$A$500,"&lt;="&amp;A166))</x:f>
        <x:v>5</x:v>
      </x:c>
      <x:c r="K166" s="30" t="str">
        <x:f>IF(B166="","",IF(J166&lt;=0,"ESGOTADO",IF(J166&lt;=Config!$H$2,"SALDO CRÍTICO",IF(J166&lt;=Config!$H$3,"SALDO BAIXO","OK"))))</x:f>
        <x:v>OK</x:v>
      </x:c>
      <x:c r="L166" s="34" t="n">
        <x:v>5</x:v>
      </x:c>
      <x:c r="M166" s="30" t="str">
        <x:v>(Catarina Boiadas) Master Capit</x:v>
      </x:c>
    </x:row>
    <x:row r="167">
      <x:c r="A167" s="30" t="n">
        <x:v>163</x:v>
      </x:c>
      <x:c r="B167" s="30" t="str">
        <x:v>MASTER CAPITAL - Unipessoal Lda</x:v>
      </x:c>
      <x:c r="C167" s="32" t="n">
        <x:v>45334</x:v>
      </x:c>
      <x:c r="D167" s="30" t="str">
        <x:v>Intervenção</x:v>
      </x:c>
      <x:c r="E167" s="30" t="str">
        <x:v>Catarina Boiadas</x:v>
      </x:c>
      <x:c r="F167" s="30" t="str">
        <x:v>ClickStop</x:v>
      </x:c>
      <x:c r="G167" s="30" t="str">
        <x:v>Configuração + Passagem de Emails</x:v>
      </x:c>
      <x:c r="H167" s="34" t="str"/>
      <x:c r="I167" s="34" t="n">
        <x:v>3</x:v>
      </x:c>
      <x:c r="J167" s="34" t="n">
        <x:f>IF(B167="","",SUMIFS($H$5:$H$500,$B$5:$B$500,B167,$A$5:$A$500,"&lt;="&amp;A167)-SUMIFS($I$5:$I$500,$B$5:$B$500,B167,$A$5:$A$500,"&lt;="&amp;A167))</x:f>
        <x:v>2</x:v>
      </x:c>
      <x:c r="K167" s="30" t="str">
        <x:f>IF(B167="","",IF(J167&lt;=0,"ESGOTADO",IF(J167&lt;=Config!$H$2,"SALDO CRÍTICO",IF(J167&lt;=Config!$H$3,"SALDO BAIXO","OK"))))</x:f>
        <x:v>SALDO BAIXO</x:v>
      </x:c>
      <x:c r="L167" s="34" t="n">
        <x:v>2</x:v>
      </x:c>
      <x:c r="M167" s="30" t="str">
        <x:v>(Catarina Boiadas) Master Capit</x:v>
      </x:c>
    </x:row>
    <x:row r="168">
      <x:c r="A168" s="30" t="n">
        <x:v>164</x:v>
      </x:c>
      <x:c r="B168" s="30" t="str">
        <x:v>MASTER CAPITAL - Unipessoal Lda</x:v>
      </x:c>
      <x:c r="C168" s="32" t="n">
        <x:v>45709</x:v>
      </x:c>
      <x:c r="D168" s="30" t="str">
        <x:v>Intervenção</x:v>
      </x:c>
      <x:c r="E168" s="30" t="str">
        <x:v>Catarina Boiadas</x:v>
      </x:c>
      <x:c r="F168" s="30" t="str">
        <x:v>ClickStop</x:v>
      </x:c>
      <x:c r="G168" s="30" t="str">
        <x:v>Apoio Balcão PC Novo problema com o Outlook</x:v>
      </x:c>
      <x:c r="H168" s="34" t="str"/>
      <x:c r="I168" s="34" t="n">
        <x:v>0.5</x:v>
      </x:c>
      <x:c r="J168" s="34" t="n">
        <x:f>IF(B168="","",SUMIFS($H$5:$H$500,$B$5:$B$500,B168,$A$5:$A$500,"&lt;="&amp;A168)-SUMIFS($I$5:$I$500,$B$5:$B$500,B168,$A$5:$A$500,"&lt;="&amp;A168))</x:f>
        <x:v>1.5</x:v>
      </x:c>
      <x:c r="K168" s="30" t="str">
        <x:f>IF(B168="","",IF(J168&lt;=0,"ESGOTADO",IF(J168&lt;=Config!$H$2,"SALDO CRÍTICO",IF(J168&lt;=Config!$H$3,"SALDO BAIXO","OK"))))</x:f>
        <x:v>SALDO BAIXO</x:v>
      </x:c>
      <x:c r="L168" s="34" t="n">
        <x:v>1.5</x:v>
      </x:c>
      <x:c r="M168" s="30" t="str">
        <x:v>(Catarina Boiadas) Master Capit</x:v>
      </x:c>
    </x:row>
    <x:row r="169">
      <x:c r="A169" s="30" t="n">
        <x:v>165</x:v>
      </x:c>
      <x:c r="B169" s="30" t="str">
        <x:v>MASTER CAPITAL - Unipessoal Lda</x:v>
      </x:c>
      <x:c r="C169" s="32" t="n">
        <x:v>45748</x:v>
      </x:c>
      <x:c r="D169" s="30" t="str">
        <x:v>Intervenção</x:v>
      </x:c>
      <x:c r="E169" s="30" t="str">
        <x:v>Catarina Boiadas</x:v>
      </x:c>
      <x:c r="F169" s="30" t="str">
        <x:v>Luis Lopes</x:v>
      </x:c>
      <x:c r="G169" s="30" t="str">
        <x:v>PC Portaria Scala e Administração</x:v>
      </x:c>
      <x:c r="H169" s="34" t="str"/>
      <x:c r="I169" s="34" t="n">
        <x:v>0.5</x:v>
      </x:c>
      <x:c r="J169" s="34" t="n">
        <x:f>IF(B169="","",SUMIFS($H$5:$H$500,$B$5:$B$500,B169,$A$5:$A$500,"&lt;="&amp;A169)-SUMIFS($I$5:$I$500,$B$5:$B$500,B169,$A$5:$A$500,"&lt;="&amp;A169))</x:f>
        <x:v>1</x:v>
      </x:c>
      <x:c r="K169" s="30" t="str">
        <x:f>IF(B169="","",IF(J169&lt;=0,"ESGOTADO",IF(J169&lt;=Config!$H$2,"SALDO CRÍTICO",IF(J169&lt;=Config!$H$3,"SALDO BAIXO","OK"))))</x:f>
        <x:v>SALDO CRÍTICO</x:v>
      </x:c>
      <x:c r="L169" s="34" t="n">
        <x:v>1</x:v>
      </x:c>
      <x:c r="M169" s="30" t="str">
        <x:v>(Catarina Boiadas) Master Capit</x:v>
      </x:c>
    </x:row>
    <x:row r="170">
      <x:c r="A170" s="30" t="n">
        <x:v>166</x:v>
      </x:c>
      <x:c r="B170" s="30" t="str">
        <x:v>MB GEST</x:v>
      </x:c>
      <x:c r="C170" s="32" t="n">
        <x:v>45820</x:v>
      </x:c>
      <x:c r="D170" s="30" t="str">
        <x:v>Compra</x:v>
      </x:c>
      <x:c r="E170" s="30" t="str"/>
      <x:c r="F170" s="30" t="str"/>
      <x:c r="G170" s="30" t="str">
        <x:v>Aquisição/Saldo inicial pack (arquivo)</x:v>
      </x:c>
      <x:c r="H170" s="34" t="n">
        <x:v>5</x:v>
      </x:c>
      <x:c r="I170" s="34" t="str"/>
      <x:c r="J170" s="34" t="n">
        <x:f>IF(B170="","",SUMIFS($H$5:$H$500,$B$5:$B$500,B170,$A$5:$A$500,"&lt;="&amp;A170)-SUMIFS($I$5:$I$500,$B$5:$B$500,B170,$A$5:$A$500,"&lt;="&amp;A170))</x:f>
        <x:v>5</x:v>
      </x:c>
      <x:c r="K170" s="30" t="str">
        <x:f>IF(B170="","",IF(J170&lt;=0,"ESGOTADO",IF(J170&lt;=Config!$H$2,"SALDO CRÍTICO",IF(J170&lt;=Config!$H$3,"SALDO BAIXO","OK"))))</x:f>
        <x:v>OK</x:v>
      </x:c>
      <x:c r="L170" s="34" t="str"/>
      <x:c r="M170" s="30" t="str">
        <x:v>MB GEST</x:v>
      </x:c>
    </x:row>
    <x:row r="171">
      <x:c r="A171" s="30" t="n">
        <x:v>167</x:v>
      </x:c>
      <x:c r="B171" s="30" t="str">
        <x:v>MB GEST</x:v>
      </x:c>
      <x:c r="C171" s="32" t="n">
        <x:v>45820</x:v>
      </x:c>
      <x:c r="D171" s="30" t="str">
        <x:v>Intervenção</x:v>
      </x:c>
      <x:c r="E171" s="30" t="str"/>
      <x:c r="F171" s="30" t="str"/>
      <x:c r="G171" s="30" t="str">
        <x:v>Clone AiO Filipa</x:v>
      </x:c>
      <x:c r="H171" s="34" t="str"/>
      <x:c r="I171" s="34" t="n">
        <x:v>1</x:v>
      </x:c>
      <x:c r="J171" s="34" t="n">
        <x:f>IF(B171="","",SUMIFS($H$5:$H$500,$B$5:$B$500,B171,$A$5:$A$500,"&lt;="&amp;A171)-SUMIFS($I$5:$I$500,$B$5:$B$500,B171,$A$5:$A$500,"&lt;="&amp;A171))</x:f>
        <x:v>4</x:v>
      </x:c>
      <x:c r="K171" s="30" t="str">
        <x:f>IF(B171="","",IF(J171&lt;=0,"ESGOTADO",IF(J171&lt;=Config!$H$2,"SALDO CRÍTICO",IF(J171&lt;=Config!$H$3,"SALDO BAIXO","OK"))))</x:f>
        <x:v>OK</x:v>
      </x:c>
      <x:c r="L171" s="34" t="str"/>
      <x:c r="M171" s="30" t="str">
        <x:v>MB GEST</x:v>
      </x:c>
    </x:row>
    <x:row r="172">
      <x:c r="A172" s="30" t="n">
        <x:v>168</x:v>
      </x:c>
      <x:c r="B172" s="30" t="str">
        <x:v>NIBITS</x:v>
      </x:c>
      <x:c r="C172" s="32" t="n">
        <x:v>44966</x:v>
      </x:c>
      <x:c r="D172" s="30" t="str">
        <x:v>Compra</x:v>
      </x:c>
      <x:c r="E172" s="30" t="str"/>
      <x:c r="F172" s="30" t="str"/>
      <x:c r="G172" s="30" t="str">
        <x:v>Aquisição/Saldo inicial pack (arquivo)</x:v>
      </x:c>
      <x:c r="H172" s="34" t="n">
        <x:v>10</x:v>
      </x:c>
      <x:c r="I172" s="34" t="str"/>
      <x:c r="J172" s="34" t="n">
        <x:f>IF(B172="","",SUMIFS($H$5:$H$500,$B$5:$B$500,B172,$A$5:$A$500,"&lt;="&amp;A172)-SUMIFS($I$5:$I$500,$B$5:$B$500,B172,$A$5:$A$500,"&lt;="&amp;A172))</x:f>
        <x:v>10</x:v>
      </x:c>
      <x:c r="K172" s="30" t="str">
        <x:f>IF(B172="","",IF(J172&lt;=0,"ESGOTADO",IF(J172&lt;=Config!$H$2,"SALDO CRÍTICO",IF(J172&lt;=Config!$H$3,"SALDO BAIXO","OK"))))</x:f>
        <x:v>OK</x:v>
      </x:c>
      <x:c r="L172" s="34" t="str"/>
      <x:c r="M172" s="30" t="str">
        <x:v>NIBITS</x:v>
      </x:c>
    </x:row>
    <x:row r="173">
      <x:c r="A173" s="30" t="n">
        <x:v>169</x:v>
      </x:c>
      <x:c r="B173" s="30" t="str">
        <x:v>NIBITS</x:v>
      </x:c>
      <x:c r="C173" s="32" t="n">
        <x:v>44966</x:v>
      </x:c>
      <x:c r="D173" s="30" t="str">
        <x:v>Intervenção</x:v>
      </x:c>
      <x:c r="E173" s="30" t="str"/>
      <x:c r="F173" s="30" t="str"/>
      <x:c r="G173" s="30" t="str">
        <x:v>Intervenção (arquivo)</x:v>
      </x:c>
      <x:c r="H173" s="34" t="str"/>
      <x:c r="I173" s="34" t="n">
        <x:v>7.7</x:v>
      </x:c>
      <x:c r="J173" s="34" t="n">
        <x:f>IF(B173="","",SUMIFS($H$5:$H$500,$B$5:$B$500,B173,$A$5:$A$500,"&lt;="&amp;A173)-SUMIFS($I$5:$I$500,$B$5:$B$500,B173,$A$5:$A$500,"&lt;="&amp;A173))</x:f>
        <x:v>2.3</x:v>
      </x:c>
      <x:c r="K173" s="30" t="str">
        <x:f>IF(B173="","",IF(J173&lt;=0,"ESGOTADO",IF(J173&lt;=Config!$H$2,"SALDO CRÍTICO",IF(J173&lt;=Config!$H$3,"SALDO BAIXO","OK"))))</x:f>
        <x:v>OK</x:v>
      </x:c>
      <x:c r="L173" s="34" t="str"/>
      <x:c r="M173" s="30" t="str">
        <x:v>NIBITS</x:v>
      </x:c>
    </x:row>
    <x:row r="174">
      <x:c r="A174" s="30" t="n">
        <x:v>170</x:v>
      </x:c>
      <x:c r="B174" s="30" t="str">
        <x:v>NIBITS</x:v>
      </x:c>
      <x:c r="C174" s="32" t="n">
        <x:v>45174</x:v>
      </x:c>
      <x:c r="D174" s="30" t="str">
        <x:v>Intervenção</x:v>
      </x:c>
      <x:c r="E174" s="30" t="str"/>
      <x:c r="F174" s="30" t="str"/>
      <x:c r="G174" s="30" t="str">
        <x:v>Intervenção (arquivo)</x:v>
      </x:c>
      <x:c r="H174" s="34" t="str"/>
      <x:c r="I174" s="34" t="n">
        <x:v>1</x:v>
      </x:c>
      <x:c r="J174" s="34" t="n">
        <x:f>IF(B174="","",SUMIFS($H$5:$H$500,$B$5:$B$500,B174,$A$5:$A$500,"&lt;="&amp;A174)-SUMIFS($I$5:$I$500,$B$5:$B$500,B174,$A$5:$A$500,"&lt;="&amp;A174))</x:f>
        <x:v>1.3000000000000007</x:v>
      </x:c>
      <x:c r="K174" s="30" t="str">
        <x:f>IF(B174="","",IF(J174&lt;=0,"ESGOTADO",IF(J174&lt;=Config!$H$2,"SALDO CRÍTICO",IF(J174&lt;=Config!$H$3,"SALDO BAIXO","OK"))))</x:f>
        <x:v>SALDO BAIXO</x:v>
      </x:c>
      <x:c r="L174" s="34" t="str"/>
      <x:c r="M174" s="30" t="str">
        <x:v>NIBITS</x:v>
      </x:c>
    </x:row>
    <x:row r="175">
      <x:c r="A175" s="30" t="n">
        <x:v>171</x:v>
      </x:c>
      <x:c r="B175" s="30" t="str">
        <x:v>NIBITS</x:v>
      </x:c>
      <x:c r="C175" s="32" t="n">
        <x:v>45183</x:v>
      </x:c>
      <x:c r="D175" s="30" t="str">
        <x:v>Intervenção</x:v>
      </x:c>
      <x:c r="E175" s="30" t="str"/>
      <x:c r="F175" s="30" t="str"/>
      <x:c r="G175" s="30" t="str">
        <x:v>Intervenção (arquivo)</x:v>
      </x:c>
      <x:c r="H175" s="34" t="str"/>
      <x:c r="I175" s="34" t="n">
        <x:v>0.5</x:v>
      </x:c>
      <x:c r="J175" s="34" t="n">
        <x:f>IF(B175="","",SUMIFS($H$5:$H$500,$B$5:$B$500,B175,$A$5:$A$500,"&lt;="&amp;A175)-SUMIFS($I$5:$I$500,$B$5:$B$500,B175,$A$5:$A$500,"&lt;="&amp;A175))</x:f>
        <x:v>0.8000000000000007</x:v>
      </x:c>
      <x:c r="K175" s="30" t="str">
        <x:f>IF(B175="","",IF(J175&lt;=0,"ESGOTADO",IF(J175&lt;=Config!$H$2,"SALDO CRÍTICO",IF(J175&lt;=Config!$H$3,"SALDO BAIXO","OK"))))</x:f>
        <x:v>SALDO CRÍTICO</x:v>
      </x:c>
      <x:c r="L175" s="34" t="str"/>
      <x:c r="M175" s="30" t="str">
        <x:v>NIBITS</x:v>
      </x:c>
    </x:row>
    <x:row r="176">
      <x:c r="A176" s="30" t="n">
        <x:v>172</x:v>
      </x:c>
      <x:c r="B176" s="30" t="str">
        <x:v>NIBITS</x:v>
      </x:c>
      <x:c r="C176" s="32" t="n">
        <x:v>45201</x:v>
      </x:c>
      <x:c r="D176" s="30" t="str">
        <x:v>Intervenção</x:v>
      </x:c>
      <x:c r="E176" s="30" t="str"/>
      <x:c r="F176" s="30" t="str"/>
      <x:c r="G176" s="30" t="str">
        <x:v>Intervenção (arquivo)</x:v>
      </x:c>
      <x:c r="H176" s="34" t="str"/>
      <x:c r="I176" s="34" t="n">
        <x:v>0.8</x:v>
      </x:c>
      <x:c r="J176" s="34" t="n">
        <x:f>IF(B176="","",SUMIFS($H$5:$H$500,$B$5:$B$500,B176,$A$5:$A$500,"&lt;="&amp;A176)-SUMIFS($I$5:$I$500,$B$5:$B$500,B176,$A$5:$A$500,"&lt;="&amp;A176))</x:f>
        <x:v>0</x:v>
      </x:c>
      <x:c r="K176" s="30" t="str">
        <x:f>IF(B176="","",IF(J176&lt;=0,"ESGOTADO",IF(J176&lt;=Config!$H$2,"SALDO CRÍTICO",IF(J176&lt;=Config!$H$3,"SALDO BAIXO","OK"))))</x:f>
        <x:v>ESGOTADO</x:v>
      </x:c>
      <x:c r="L176" s="34" t="str"/>
      <x:c r="M176" s="30" t="str">
        <x:v>NIBITS</x:v>
      </x:c>
    </x:row>
    <x:row r="177">
      <x:c r="A177" s="30" t="n">
        <x:v>173</x:v>
      </x:c>
      <x:c r="B177" s="30" t="str">
        <x:v>NIBITS</x:v>
      </x:c>
      <x:c r="C177" s="32" t="n">
        <x:v>45219</x:v>
      </x:c>
      <x:c r="D177" s="30" t="str">
        <x:v>Compra</x:v>
      </x:c>
      <x:c r="E177" s="30" t="str"/>
      <x:c r="F177" s="30" t="str"/>
      <x:c r="G177" s="30" t="str">
        <x:v>Aquisição Pack 10 Horas</x:v>
      </x:c>
      <x:c r="H177" s="34" t="n">
        <x:v>10</x:v>
      </x:c>
      <x:c r="I177" s="34" t="str"/>
      <x:c r="J177" s="34" t="n">
        <x:f>IF(B177="","",SUMIFS($H$5:$H$500,$B$5:$B$500,B177,$A$5:$A$500,"&lt;="&amp;A177)-SUMIFS($I$5:$I$500,$B$5:$B$500,B177,$A$5:$A$500,"&lt;="&amp;A177))</x:f>
        <x:v>10</x:v>
      </x:c>
      <x:c r="K177" s="30" t="str">
        <x:f>IF(B177="","",IF(J177&lt;=0,"ESGOTADO",IF(J177&lt;=Config!$H$2,"SALDO CRÍTICO",IF(J177&lt;=Config!$H$3,"SALDO BAIXO","OK"))))</x:f>
        <x:v>OK</x:v>
      </x:c>
      <x:c r="L177" s="34" t="n">
        <x:v>10</x:v>
      </x:c>
      <x:c r="M177" s="30" t="str">
        <x:v>NIBITS</x:v>
      </x:c>
    </x:row>
    <x:row r="178">
      <x:c r="A178" s="30" t="n">
        <x:v>174</x:v>
      </x:c>
      <x:c r="B178" s="30" t="str">
        <x:v>NIBITS</x:v>
      </x:c>
      <x:c r="C178" s="32" t="n">
        <x:v>45316</x:v>
      </x:c>
      <x:c r="D178" s="30" t="str">
        <x:v>Intervenção</x:v>
      </x:c>
      <x:c r="E178" s="30" t="str">
        <x:v>Jake</x:v>
      </x:c>
      <x:c r="F178" s="30" t="str">
        <x:v>Luis Lopes</x:v>
      </x:c>
      <x:c r="G178" s="30" t="str">
        <x:v>Ajuda com Adobe no local</x:v>
      </x:c>
      <x:c r="H178" s="34" t="str"/>
      <x:c r="I178" s="34" t="n">
        <x:v>1</x:v>
      </x:c>
      <x:c r="J178" s="34" t="n">
        <x:f>IF(B178="","",SUMIFS($H$5:$H$500,$B$5:$B$500,B178,$A$5:$A$500,"&lt;="&amp;A178)-SUMIFS($I$5:$I$500,$B$5:$B$500,B178,$A$5:$A$500,"&lt;="&amp;A178))</x:f>
        <x:v>9</x:v>
      </x:c>
      <x:c r="K178" s="30" t="str">
        <x:f>IF(B178="","",IF(J178&lt;=0,"ESGOTADO",IF(J178&lt;=Config!$H$2,"SALDO CRÍTICO",IF(J178&lt;=Config!$H$3,"SALDO BAIXO","OK"))))</x:f>
        <x:v>OK</x:v>
      </x:c>
      <x:c r="L178" s="34" t="n">
        <x:v>9</x:v>
      </x:c>
      <x:c r="M178" s="30" t="str">
        <x:v>NIBITS</x:v>
      </x:c>
    </x:row>
    <x:row r="179">
      <x:c r="A179" s="30" t="n">
        <x:v>175</x:v>
      </x:c>
      <x:c r="B179" s="30" t="str">
        <x:v>NIBITS</x:v>
      </x:c>
      <x:c r="C179" s="32" t="n">
        <x:v>45322</x:v>
      </x:c>
      <x:c r="D179" s="30" t="str">
        <x:v>Intervenção</x:v>
      </x:c>
      <x:c r="E179" s="30" t="str">
        <x:v>Jake</x:v>
      </x:c>
      <x:c r="F179" s="30" t="str">
        <x:v>Luis Lopes</x:v>
      </x:c>
      <x:c r="G179" s="30" t="str">
        <x:v>Formatação de computador</x:v>
      </x:c>
      <x:c r="H179" s="34" t="str"/>
      <x:c r="I179" s="34" t="n">
        <x:v>1</x:v>
      </x:c>
      <x:c r="J179" s="34" t="n">
        <x:f>IF(B179="","",SUMIFS($H$5:$H$500,$B$5:$B$500,B179,$A$5:$A$500,"&lt;="&amp;A179)-SUMIFS($I$5:$I$500,$B$5:$B$500,B179,$A$5:$A$500,"&lt;="&amp;A179))</x:f>
        <x:v>8</x:v>
      </x:c>
      <x:c r="K179" s="30" t="str">
        <x:f>IF(B179="","",IF(J179&lt;=0,"ESGOTADO",IF(J179&lt;=Config!$H$2,"SALDO CRÍTICO",IF(J179&lt;=Config!$H$3,"SALDO BAIXO","OK"))))</x:f>
        <x:v>OK</x:v>
      </x:c>
      <x:c r="L179" s="34" t="n">
        <x:v>8</x:v>
      </x:c>
      <x:c r="M179" s="30" t="str">
        <x:v>NIBITS</x:v>
      </x:c>
    </x:row>
    <x:row r="180">
      <x:c r="A180" s="30" t="n">
        <x:v>176</x:v>
      </x:c>
      <x:c r="B180" s="30" t="str">
        <x:v>NIBITS</x:v>
      </x:c>
      <x:c r="C180" s="32" t="n">
        <x:v>45330</x:v>
      </x:c>
      <x:c r="D180" s="30" t="str">
        <x:v>Intervenção</x:v>
      </x:c>
      <x:c r="E180" s="30" t="str">
        <x:v>Jake</x:v>
      </x:c>
      <x:c r="F180" s="30" t="str">
        <x:v>Luis Lopes</x:v>
      </x:c>
      <x:c r="G180" s="30" t="str">
        <x:v>Renovação Microsoft com Jake</x:v>
      </x:c>
      <x:c r="H180" s="34" t="str"/>
      <x:c r="I180" s="34" t="n">
        <x:v>0.5</x:v>
      </x:c>
      <x:c r="J180" s="34" t="n">
        <x:f>IF(B180="","",SUMIFS($H$5:$H$500,$B$5:$B$500,B180,$A$5:$A$500,"&lt;="&amp;A180)-SUMIFS($I$5:$I$500,$B$5:$B$500,B180,$A$5:$A$500,"&lt;="&amp;A180))</x:f>
        <x:v>7.5</x:v>
      </x:c>
      <x:c r="K180" s="30" t="str">
        <x:f>IF(B180="","",IF(J180&lt;=0,"ESGOTADO",IF(J180&lt;=Config!$H$2,"SALDO CRÍTICO",IF(J180&lt;=Config!$H$3,"SALDO BAIXO","OK"))))</x:f>
        <x:v>OK</x:v>
      </x:c>
      <x:c r="L180" s="34" t="n">
        <x:v>7.5</x:v>
      </x:c>
      <x:c r="M180" s="30" t="str">
        <x:v>NIBITS</x:v>
      </x:c>
    </x:row>
    <x:row r="181">
      <x:c r="A181" s="30" t="n">
        <x:v>177</x:v>
      </x:c>
      <x:c r="B181" s="30" t="str">
        <x:v>NIBITS</x:v>
      </x:c>
      <x:c r="C181" s="32" t="n">
        <x:v>45364</x:v>
      </x:c>
      <x:c r="D181" s="30" t="str">
        <x:v>Intervenção</x:v>
      </x:c>
      <x:c r="E181" s="30" t="str">
        <x:v>Jake</x:v>
      </x:c>
      <x:c r="F181" s="30" t="str">
        <x:v>Luis Lopes</x:v>
      </x:c>
      <x:c r="G181" s="30" t="str">
        <x:v>Ajudar Jake na loja</x:v>
      </x:c>
      <x:c r="H181" s="34" t="str"/>
      <x:c r="I181" s="34" t="n">
        <x:v>0.5</x:v>
      </x:c>
      <x:c r="J181" s="34" t="n">
        <x:f>IF(B181="","",SUMIFS($H$5:$H$500,$B$5:$B$500,B181,$A$5:$A$500,"&lt;="&amp;A181)-SUMIFS($I$5:$I$500,$B$5:$B$500,B181,$A$5:$A$500,"&lt;="&amp;A181))</x:f>
        <x:v>7</x:v>
      </x:c>
      <x:c r="K181" s="30" t="str">
        <x:f>IF(B181="","",IF(J181&lt;=0,"ESGOTADO",IF(J181&lt;=Config!$H$2,"SALDO CRÍTICO",IF(J181&lt;=Config!$H$3,"SALDO BAIXO","OK"))))</x:f>
        <x:v>OK</x:v>
      </x:c>
      <x:c r="L181" s="34" t="n">
        <x:v>7</x:v>
      </x:c>
      <x:c r="M181" s="30" t="str">
        <x:v>NIBITS</x:v>
      </x:c>
    </x:row>
    <x:row r="182">
      <x:c r="A182" s="30" t="n">
        <x:v>178</x:v>
      </x:c>
      <x:c r="B182" s="30" t="str">
        <x:v>NIBITS</x:v>
      </x:c>
      <x:c r="C182" s="32" t="n">
        <x:v>45369</x:v>
      </x:c>
      <x:c r="D182" s="30" t="str">
        <x:v>Intervenção</x:v>
      </x:c>
      <x:c r="E182" s="30" t="str">
        <x:v>Jake</x:v>
      </x:c>
      <x:c r="F182" s="30" t="str">
        <x:v>Luis Lopes</x:v>
      </x:c>
      <x:c r="G182" s="30" t="str">
        <x:v>Ajudar Jake na loja</x:v>
      </x:c>
      <x:c r="H182" s="34" t="str"/>
      <x:c r="I182" s="34" t="n">
        <x:v>0.25</x:v>
      </x:c>
      <x:c r="J182" s="34" t="n">
        <x:f>IF(B182="","",SUMIFS($H$5:$H$500,$B$5:$B$500,B182,$A$5:$A$500,"&lt;="&amp;A182)-SUMIFS($I$5:$I$500,$B$5:$B$500,B182,$A$5:$A$500,"&lt;="&amp;A182))</x:f>
        <x:v>6.75</x:v>
      </x:c>
      <x:c r="K182" s="30" t="str">
        <x:f>IF(B182="","",IF(J182&lt;=0,"ESGOTADO",IF(J182&lt;=Config!$H$2,"SALDO CRÍTICO",IF(J182&lt;=Config!$H$3,"SALDO BAIXO","OK"))))</x:f>
        <x:v>OK</x:v>
      </x:c>
      <x:c r="L182" s="34" t="n">
        <x:v>6.75</x:v>
      </x:c>
      <x:c r="M182" s="30" t="str">
        <x:v>NIBITS</x:v>
      </x:c>
    </x:row>
    <x:row r="183">
      <x:c r="A183" s="30" t="n">
        <x:v>179</x:v>
      </x:c>
      <x:c r="B183" s="30" t="str">
        <x:v>NIBITS</x:v>
      </x:c>
      <x:c r="C183" s="32" t="n">
        <x:v>45411</x:v>
      </x:c>
      <x:c r="D183" s="30" t="str">
        <x:v>Intervenção</x:v>
      </x:c>
      <x:c r="E183" s="30" t="str">
        <x:v>Jake</x:v>
      </x:c>
      <x:c r="F183" s="30" t="str">
        <x:v>Ivan Lopes</x:v>
      </x:c>
      <x:c r="G183" s="30" t="str">
        <x:v>Intervenção nos APs em casa do Jake</x:v>
      </x:c>
      <x:c r="H183" s="34" t="str"/>
      <x:c r="I183" s="34" t="n">
        <x:v>1</x:v>
      </x:c>
      <x:c r="J183" s="34" t="n">
        <x:f>IF(B183="","",SUMIFS($H$5:$H$500,$B$5:$B$500,B183,$A$5:$A$500,"&lt;="&amp;A183)-SUMIFS($I$5:$I$500,$B$5:$B$500,B183,$A$5:$A$500,"&lt;="&amp;A183))</x:f>
        <x:v>5.75</x:v>
      </x:c>
      <x:c r="K183" s="30" t="str">
        <x:f>IF(B183="","",IF(J183&lt;=0,"ESGOTADO",IF(J183&lt;=Config!$H$2,"SALDO CRÍTICO",IF(J183&lt;=Config!$H$3,"SALDO BAIXO","OK"))))</x:f>
        <x:v>OK</x:v>
      </x:c>
      <x:c r="L183" s="34" t="n">
        <x:v>5.75</x:v>
      </x:c>
      <x:c r="M183" s="30" t="str">
        <x:v>NIBITS</x:v>
      </x:c>
    </x:row>
    <x:row r="184">
      <x:c r="A184" s="30" t="n">
        <x:v>180</x:v>
      </x:c>
      <x:c r="B184" s="30" t="str">
        <x:v>NIBITS</x:v>
      </x:c>
      <x:c r="C184" s="32" t="n">
        <x:v>45558</x:v>
      </x:c>
      <x:c r="D184" s="30" t="str">
        <x:v>Intervenção</x:v>
      </x:c>
      <x:c r="E184" s="30" t="str">
        <x:v>Jake</x:v>
      </x:c>
      <x:c r="F184" s="30" t="str">
        <x:v>Luis Lopes</x:v>
      </x:c>
      <x:c r="G184" s="30" t="str">
        <x:v>Ajudar Jake na loja</x:v>
      </x:c>
      <x:c r="H184" s="34" t="str"/>
      <x:c r="I184" s="34" t="n">
        <x:v>1</x:v>
      </x:c>
      <x:c r="J184" s="34" t="n">
        <x:f>IF(B184="","",SUMIFS($H$5:$H$500,$B$5:$B$500,B184,$A$5:$A$500,"&lt;="&amp;A184)-SUMIFS($I$5:$I$500,$B$5:$B$500,B184,$A$5:$A$500,"&lt;="&amp;A184))</x:f>
        <x:v>4.75</x:v>
      </x:c>
      <x:c r="K184" s="30" t="str">
        <x:f>IF(B184="","",IF(J184&lt;=0,"ESGOTADO",IF(J184&lt;=Config!$H$2,"SALDO CRÍTICO",IF(J184&lt;=Config!$H$3,"SALDO BAIXO","OK"))))</x:f>
        <x:v>OK</x:v>
      </x:c>
      <x:c r="L184" s="34" t="n">
        <x:v>4.75</x:v>
      </x:c>
      <x:c r="M184" s="30" t="str">
        <x:v>NIBITS</x:v>
      </x:c>
    </x:row>
    <x:row r="185">
      <x:c r="A185" s="30" t="n">
        <x:v>181</x:v>
      </x:c>
      <x:c r="B185" s="30" t="str">
        <x:v>NIBITS</x:v>
      </x:c>
      <x:c r="C185" s="32" t="n">
        <x:v>45743</x:v>
      </x:c>
      <x:c r="D185" s="30" t="str">
        <x:v>Intervenção</x:v>
      </x:c>
      <x:c r="E185" s="30" t="str">
        <x:v>Jake</x:v>
      </x:c>
      <x:c r="F185" s="30" t="str">
        <x:v>Luis Lopes</x:v>
      </x:c>
      <x:c r="G185" s="30" t="str">
        <x:v>Assistência Remora com impressoras CANON</x:v>
      </x:c>
      <x:c r="H185" s="34" t="str"/>
      <x:c r="I185" s="34" t="n">
        <x:v>0.5</x:v>
      </x:c>
      <x:c r="J185" s="34" t="n">
        <x:f>IF(B185="","",SUMIFS($H$5:$H$500,$B$5:$B$500,B185,$A$5:$A$500,"&lt;="&amp;A185)-SUMIFS($I$5:$I$500,$B$5:$B$500,B185,$A$5:$A$500,"&lt;="&amp;A185))</x:f>
        <x:v>4.25</x:v>
      </x:c>
      <x:c r="K185" s="30" t="str">
        <x:f>IF(B185="","",IF(J185&lt;=0,"ESGOTADO",IF(J185&lt;=Config!$H$2,"SALDO CRÍTICO",IF(J185&lt;=Config!$H$3,"SALDO BAIXO","OK"))))</x:f>
        <x:v>OK</x:v>
      </x:c>
      <x:c r="L185" s="34" t="n">
        <x:v>4.25</x:v>
      </x:c>
      <x:c r="M185" s="30" t="str">
        <x:v>NIBITS</x:v>
      </x:c>
    </x:row>
    <x:row r="186">
      <x:c r="A186" s="30" t="n">
        <x:v>182</x:v>
      </x:c>
      <x:c r="B186" s="30" t="str">
        <x:v>NOVAMENTE</x:v>
      </x:c>
      <x:c r="C186" s="32" t="n">
        <x:v>45877</x:v>
      </x:c>
      <x:c r="D186" s="30" t="str">
        <x:v>Compra</x:v>
      </x:c>
      <x:c r="E186" s="30" t="str"/>
      <x:c r="F186" s="30" t="str"/>
      <x:c r="G186" s="30" t="str">
        <x:v>Aquisição Pack 5 Horas</x:v>
      </x:c>
      <x:c r="H186" s="34" t="n">
        <x:v>5</x:v>
      </x:c>
      <x:c r="I186" s="34" t="str"/>
      <x:c r="J186" s="34" t="n">
        <x:f>IF(B186="","",SUMIFS($H$5:$H$500,$B$5:$B$500,B186,$A$5:$A$500,"&lt;="&amp;A186)-SUMIFS($I$5:$I$500,$B$5:$B$500,B186,$A$5:$A$500,"&lt;="&amp;A186))</x:f>
        <x:v>5</x:v>
      </x:c>
      <x:c r="K186" s="30" t="str">
        <x:f>IF(B186="","",IF(J186&lt;=0,"ESGOTADO",IF(J186&lt;=Config!$H$2,"SALDO CRÍTICO",IF(J186&lt;=Config!$H$3,"SALDO BAIXO","OK"))))</x:f>
        <x:v>OK</x:v>
      </x:c>
      <x:c r="L186" s="34" t="n">
        <x:v>5</x:v>
      </x:c>
      <x:c r="M186" s="30" t="str">
        <x:v>NOVAMENTE</x:v>
      </x:c>
    </x:row>
    <x:row r="187">
      <x:c r="A187" s="30" t="n">
        <x:v>183</x:v>
      </x:c>
      <x:c r="B187" s="30" t="str">
        <x:v>NOVAMENTE</x:v>
      </x:c>
      <x:c r="C187" s="32" t="n">
        <x:v>45877</x:v>
      </x:c>
      <x:c r="D187" s="30" t="str">
        <x:v>Intervenção</x:v>
      </x:c>
      <x:c r="E187" s="30" t="str"/>
      <x:c r="F187" s="30" t="str">
        <x:v>ClickStop</x:v>
      </x:c>
      <x:c r="G187" s="30" t="str">
        <x:v>Assistência Remota Onedrive</x:v>
      </x:c>
      <x:c r="H187" s="34" t="str"/>
      <x:c r="I187" s="34" t="n">
        <x:v>1</x:v>
      </x:c>
      <x:c r="J187" s="34" t="n">
        <x:f>IF(B187="","",SUMIFS($H$5:$H$500,$B$5:$B$500,B187,$A$5:$A$500,"&lt;="&amp;A187)-SUMIFS($I$5:$I$500,$B$5:$B$500,B187,$A$5:$A$500,"&lt;="&amp;A187))</x:f>
        <x:v>4</x:v>
      </x:c>
      <x:c r="K187" s="30" t="str">
        <x:f>IF(B187="","",IF(J187&lt;=0,"ESGOTADO",IF(J187&lt;=Config!$H$2,"SALDO CRÍTICO",IF(J187&lt;=Config!$H$3,"SALDO BAIXO","OK"))))</x:f>
        <x:v>OK</x:v>
      </x:c>
      <x:c r="L187" s="34" t="n">
        <x:v>4</x:v>
      </x:c>
      <x:c r="M187" s="30" t="str">
        <x:v>NOVAMENTE</x:v>
      </x:c>
    </x:row>
    <x:row r="188">
      <x:c r="A188" s="30" t="n">
        <x:v>184</x:v>
      </x:c>
      <x:c r="B188" s="30" t="str">
        <x:v>NOVAMENTE</x:v>
      </x:c>
      <x:c r="C188" s="32" t="n">
        <x:v>45953</x:v>
      </x:c>
      <x:c r="D188" s="30" t="str">
        <x:v>Intervenção</x:v>
      </x:c>
      <x:c r="E188" s="30" t="str"/>
      <x:c r="F188" s="30" t="str">
        <x:v>ClickStop</x:v>
      </x:c>
      <x:c r="G188" s="30" t="str">
        <x:v>Assistência Remota</x:v>
      </x:c>
      <x:c r="H188" s="34" t="str"/>
      <x:c r="I188" s="34" t="n">
        <x:v>1</x:v>
      </x:c>
      <x:c r="J188" s="34" t="n">
        <x:f>IF(B188="","",SUMIFS($H$5:$H$500,$B$5:$B$500,B188,$A$5:$A$500,"&lt;="&amp;A188)-SUMIFS($I$5:$I$500,$B$5:$B$500,B188,$A$5:$A$500,"&lt;="&amp;A188))</x:f>
        <x:v>3</x:v>
      </x:c>
      <x:c r="K188" s="30" t="str">
        <x:f>IF(B188="","",IF(J188&lt;=0,"ESGOTADO",IF(J188&lt;=Config!$H$2,"SALDO CRÍTICO",IF(J188&lt;=Config!$H$3,"SALDO BAIXO","OK"))))</x:f>
        <x:v>OK</x:v>
      </x:c>
      <x:c r="L188" s="34" t="n">
        <x:v>3</x:v>
      </x:c>
      <x:c r="M188" s="30" t="str">
        <x:v>NOVAMENTE</x:v>
      </x:c>
    </x:row>
    <x:row r="189">
      <x:c r="A189" s="30" t="n">
        <x:v>185</x:v>
      </x:c>
      <x:c r="B189" s="30" t="str">
        <x:v>NOVAMENTE</x:v>
      </x:c>
      <x:c r="C189" s="32" t="n">
        <x:v>46001</x:v>
      </x:c>
      <x:c r="D189" s="30" t="str">
        <x:v>Intervenção</x:v>
      </x:c>
      <x:c r="E189" s="30" t="str"/>
      <x:c r="F189" s="30" t="str">
        <x:v>ClickStop</x:v>
      </x:c>
      <x:c r="G189" s="30" t="str">
        <x:v>Assistência Remota</x:v>
      </x:c>
      <x:c r="H189" s="34" t="str"/>
      <x:c r="I189" s="34" t="n">
        <x:v>0.5</x:v>
      </x:c>
      <x:c r="J189" s="34" t="n">
        <x:f>IF(B189="","",SUMIFS($H$5:$H$500,$B$5:$B$500,B189,$A$5:$A$500,"&lt;="&amp;A189)-SUMIFS($I$5:$I$500,$B$5:$B$500,B189,$A$5:$A$500,"&lt;="&amp;A189))</x:f>
        <x:v>2.5</x:v>
      </x:c>
      <x:c r="K189" s="30" t="str">
        <x:f>IF(B189="","",IF(J189&lt;=0,"ESGOTADO",IF(J189&lt;=Config!$H$2,"SALDO CRÍTICO",IF(J189&lt;=Config!$H$3,"SALDO BAIXO","OK"))))</x:f>
        <x:v>OK</x:v>
      </x:c>
      <x:c r="L189" s="34" t="n">
        <x:v>2.5</x:v>
      </x:c>
      <x:c r="M189" s="30" t="str">
        <x:v>NOVAMENTE</x:v>
      </x:c>
    </x:row>
    <x:row r="190">
      <x:c r="A190" s="30" t="n">
        <x:v>186</x:v>
      </x:c>
      <x:c r="B190" s="30" t="str">
        <x:v>NOVAMENTE</x:v>
      </x:c>
      <x:c r="C190" s="32" t="n">
        <x:v>46071</x:v>
      </x:c>
      <x:c r="D190" s="30" t="str">
        <x:v>Intervenção</x:v>
      </x:c>
      <x:c r="E190" s="30" t="str"/>
      <x:c r="F190" s="30" t="str">
        <x:v>ClickStop</x:v>
      </x:c>
      <x:c r="G190" s="30" t="str">
        <x:v>Assistência Remota</x:v>
      </x:c>
      <x:c r="H190" s="34" t="str"/>
      <x:c r="I190" s="34" t="n">
        <x:v>0.5</x:v>
      </x:c>
      <x:c r="J190" s="34" t="n">
        <x:f>IF(B190="","",SUMIFS($H$5:$H$500,$B$5:$B$500,B190,$A$5:$A$500,"&lt;="&amp;A190)-SUMIFS($I$5:$I$500,$B$5:$B$500,B190,$A$5:$A$500,"&lt;="&amp;A190))</x:f>
        <x:v>2</x:v>
      </x:c>
      <x:c r="K190" s="30" t="str">
        <x:f>IF(B190="","",IF(J190&lt;=0,"ESGOTADO",IF(J190&lt;=Config!$H$2,"SALDO CRÍTICO",IF(J190&lt;=Config!$H$3,"SALDO BAIXO","OK"))))</x:f>
        <x:v>SALDO BAIXO</x:v>
      </x:c>
      <x:c r="L190" s="34" t="n">
        <x:v>2</x:v>
      </x:c>
      <x:c r="M190" s="30" t="str">
        <x:v>NOVAMENTE</x:v>
      </x:c>
    </x:row>
    <x:row r="191">
      <x:c r="A191" s="30" t="n">
        <x:v>187</x:v>
      </x:c>
      <x:c r="B191" s="30" t="str">
        <x:v>ODD</x:v>
      </x:c>
      <x:c r="C191" s="32" t="n">
        <x:v>45370</x:v>
      </x:c>
      <x:c r="D191" s="30" t="str">
        <x:v>Compra</x:v>
      </x:c>
      <x:c r="E191" s="30" t="str"/>
      <x:c r="F191" s="30" t="str"/>
      <x:c r="G191" s="30" t="str">
        <x:v>Aquisição Pack 10 Horas</x:v>
      </x:c>
      <x:c r="H191" s="34" t="n">
        <x:v>10</x:v>
      </x:c>
      <x:c r="I191" s="34" t="str"/>
      <x:c r="J191" s="34" t="n">
        <x:f>IF(B191="","",SUMIFS($H$5:$H$500,$B$5:$B$500,B191,$A$5:$A$500,"&lt;="&amp;A191)-SUMIFS($I$5:$I$500,$B$5:$B$500,B191,$A$5:$A$500,"&lt;="&amp;A191))</x:f>
        <x:v>10</x:v>
      </x:c>
      <x:c r="K191" s="30" t="str">
        <x:f>IF(B191="","",IF(J191&lt;=0,"ESGOTADO",IF(J191&lt;=Config!$H$2,"SALDO CRÍTICO",IF(J191&lt;=Config!$H$3,"SALDO BAIXO","OK"))))</x:f>
        <x:v>OK</x:v>
      </x:c>
      <x:c r="L191" s="34" t="n">
        <x:v>10</x:v>
      </x:c>
      <x:c r="M191" s="30" t="str">
        <x:v>ODD</x:v>
      </x:c>
    </x:row>
    <x:row r="192">
      <x:c r="A192" s="30" t="n">
        <x:v>188</x:v>
      </x:c>
      <x:c r="B192" s="30" t="str">
        <x:v>ODD</x:v>
      </x:c>
      <x:c r="C192" s="32" t="n">
        <x:v>45378</x:v>
      </x:c>
      <x:c r="D192" s="30" t="str">
        <x:v>Intervenção</x:v>
      </x:c>
      <x:c r="E192" s="30" t="str"/>
      <x:c r="F192" s="30" t="str">
        <x:v>ClickStop</x:v>
      </x:c>
      <x:c r="G192" s="30" t="str">
        <x:v>Erro impressora Mariana &amp; André</x:v>
      </x:c>
      <x:c r="H192" s="34" t="str"/>
      <x:c r="I192" s="34" t="n">
        <x:v>0.25</x:v>
      </x:c>
      <x:c r="J192" s="34" t="n">
        <x:f>IF(B192="","",SUMIFS($H$5:$H$500,$B$5:$B$500,B192,$A$5:$A$500,"&lt;="&amp;A192)-SUMIFS($I$5:$I$500,$B$5:$B$500,B192,$A$5:$A$500,"&lt;="&amp;A192))</x:f>
        <x:v>9.75</x:v>
      </x:c>
      <x:c r="K192" s="30" t="str">
        <x:f>IF(B192="","",IF(J192&lt;=0,"ESGOTADO",IF(J192&lt;=Config!$H$2,"SALDO CRÍTICO",IF(J192&lt;=Config!$H$3,"SALDO BAIXO","OK"))))</x:f>
        <x:v>OK</x:v>
      </x:c>
      <x:c r="L192" s="34" t="n">
        <x:v>9.75</x:v>
      </x:c>
      <x:c r="M192" s="30" t="str">
        <x:v>ODD</x:v>
      </x:c>
    </x:row>
    <x:row r="193">
      <x:c r="A193" s="30" t="n">
        <x:v>189</x:v>
      </x:c>
      <x:c r="B193" s="30" t="str">
        <x:v>ODD</x:v>
      </x:c>
      <x:c r="C193" s="32" t="n">
        <x:v>45404</x:v>
      </x:c>
      <x:c r="D193" s="30" t="str">
        <x:v>Intervenção</x:v>
      </x:c>
      <x:c r="E193" s="30" t="str"/>
      <x:c r="F193" s="30" t="str">
        <x:v>ClickStop</x:v>
      </x:c>
      <x:c r="G193" s="30" t="str">
        <x:v>Finalização da passagem QNAP para Google Drive</x:v>
      </x:c>
      <x:c r="H193" s="34" t="str"/>
      <x:c r="I193" s="34" t="n">
        <x:v>2</x:v>
      </x:c>
      <x:c r="J193" s="34" t="n">
        <x:f>IF(B193="","",SUMIFS($H$5:$H$500,$B$5:$B$500,B193,$A$5:$A$500,"&lt;="&amp;A193)-SUMIFS($I$5:$I$500,$B$5:$B$500,B193,$A$5:$A$500,"&lt;="&amp;A193))</x:f>
        <x:v>7.75</x:v>
      </x:c>
      <x:c r="K193" s="30" t="str">
        <x:f>IF(B193="","",IF(J193&lt;=0,"ESGOTADO",IF(J193&lt;=Config!$H$2,"SALDO CRÍTICO",IF(J193&lt;=Config!$H$3,"SALDO BAIXO","OK"))))</x:f>
        <x:v>OK</x:v>
      </x:c>
      <x:c r="L193" s="34" t="n">
        <x:v>7.75</x:v>
      </x:c>
      <x:c r="M193" s="30" t="str">
        <x:v>ODD</x:v>
      </x:c>
    </x:row>
    <x:row r="194">
      <x:c r="A194" s="30" t="n">
        <x:v>190</x:v>
      </x:c>
      <x:c r="B194" s="30" t="str">
        <x:v>ODD</x:v>
      </x:c>
      <x:c r="C194" s="32" t="n">
        <x:v>45408</x:v>
      </x:c>
      <x:c r="D194" s="30" t="str">
        <x:v>Intervenção</x:v>
      </x:c>
      <x:c r="E194" s="30" t="str"/>
      <x:c r="F194" s="30" t="str">
        <x:v>ClickStop</x:v>
      </x:c>
      <x:c r="G194" s="30" t="str">
        <x:v>Adicionada pasta Admin ao Google Drive</x:v>
      </x:c>
      <x:c r="H194" s="34" t="str"/>
      <x:c r="I194" s="34" t="n">
        <x:v>0.25</x:v>
      </x:c>
      <x:c r="J194" s="34" t="n">
        <x:f>IF(B194="","",SUMIFS($H$5:$H$500,$B$5:$B$500,B194,$A$5:$A$500,"&lt;="&amp;A194)-SUMIFS($I$5:$I$500,$B$5:$B$500,B194,$A$5:$A$500,"&lt;="&amp;A194))</x:f>
        <x:v>7.5</x:v>
      </x:c>
      <x:c r="K194" s="30" t="str">
        <x:f>IF(B194="","",IF(J194&lt;=0,"ESGOTADO",IF(J194&lt;=Config!$H$2,"SALDO CRÍTICO",IF(J194&lt;=Config!$H$3,"SALDO BAIXO","OK"))))</x:f>
        <x:v>OK</x:v>
      </x:c>
      <x:c r="L194" s="34" t="n">
        <x:v>7.5</x:v>
      </x:c>
      <x:c r="M194" s="30" t="str">
        <x:v>ODD</x:v>
      </x:c>
    </x:row>
    <x:row r="195">
      <x:c r="A195" s="30" t="n">
        <x:v>191</x:v>
      </x:c>
      <x:c r="B195" s="30" t="str">
        <x:v>ODD</x:v>
      </x:c>
      <x:c r="C195" s="32" t="n">
        <x:v>45430</x:v>
      </x:c>
      <x:c r="D195" s="30" t="str">
        <x:v>Intervenção</x:v>
      </x:c>
      <x:c r="E195" s="30" t="str"/>
      <x:c r="F195" s="30" t="str">
        <x:v>ClickStop</x:v>
      </x:c>
      <x:c r="G195" s="30" t="str">
        <x:v>Apoio no local (Partilhas e impressora)</x:v>
      </x:c>
      <x:c r="H195" s="34" t="str"/>
      <x:c r="I195" s="34" t="n">
        <x:v>2.5</x:v>
      </x:c>
      <x:c r="J195" s="34" t="n">
        <x:f>IF(B195="","",SUMIFS($H$5:$H$500,$B$5:$B$500,B195,$A$5:$A$500,"&lt;="&amp;A195)-SUMIFS($I$5:$I$500,$B$5:$B$500,B195,$A$5:$A$500,"&lt;="&amp;A195))</x:f>
        <x:v>5</x:v>
      </x:c>
      <x:c r="K195" s="30" t="str">
        <x:f>IF(B195="","",IF(J195&lt;=0,"ESGOTADO",IF(J195&lt;=Config!$H$2,"SALDO CRÍTICO",IF(J195&lt;=Config!$H$3,"SALDO BAIXO","OK"))))</x:f>
        <x:v>OK</x:v>
      </x:c>
      <x:c r="L195" s="34" t="n">
        <x:v>5</x:v>
      </x:c>
      <x:c r="M195" s="30" t="str">
        <x:v>ODD</x:v>
      </x:c>
    </x:row>
    <x:row r="196">
      <x:c r="A196" s="30" t="n">
        <x:v>192</x:v>
      </x:c>
      <x:c r="B196" s="30" t="str">
        <x:v>ODD</x:v>
      </x:c>
      <x:c r="C196" s="32" t="n">
        <x:v>45461</x:v>
      </x:c>
      <x:c r="D196" s="30" t="str">
        <x:v>Intervenção</x:v>
      </x:c>
      <x:c r="E196" s="30" t="str"/>
      <x:c r="F196" s="30" t="str">
        <x:v>ClickStop</x:v>
      </x:c>
      <x:c r="G196" s="30" t="str">
        <x:v>Assistência Remota ODD11 Mariana</x:v>
      </x:c>
      <x:c r="H196" s="34" t="str"/>
      <x:c r="I196" s="34" t="n">
        <x:v>0.5</x:v>
      </x:c>
      <x:c r="J196" s="34" t="n">
        <x:f>IF(B196="","",SUMIFS($H$5:$H$500,$B$5:$B$500,B196,$A$5:$A$500,"&lt;="&amp;A196)-SUMIFS($I$5:$I$500,$B$5:$B$500,B196,$A$5:$A$500,"&lt;="&amp;A196))</x:f>
        <x:v>4.5</x:v>
      </x:c>
      <x:c r="K196" s="30" t="str">
        <x:f>IF(B196="","",IF(J196&lt;=0,"ESGOTADO",IF(J196&lt;=Config!$H$2,"SALDO CRÍTICO",IF(J196&lt;=Config!$H$3,"SALDO BAIXO","OK"))))</x:f>
        <x:v>OK</x:v>
      </x:c>
      <x:c r="L196" s="34" t="n">
        <x:v>4.5</x:v>
      </x:c>
      <x:c r="M196" s="30" t="str">
        <x:v>ODD</x:v>
      </x:c>
    </x:row>
    <x:row r="197">
      <x:c r="A197" s="30" t="n">
        <x:v>193</x:v>
      </x:c>
      <x:c r="B197" s="30" t="str">
        <x:v>ODD</x:v>
      </x:c>
      <x:c r="C197" s="32" t="n">
        <x:v>45467</x:v>
      </x:c>
      <x:c r="D197" s="30" t="str">
        <x:v>Intervenção</x:v>
      </x:c>
      <x:c r="E197" s="30" t="str"/>
      <x:c r="F197" s="30" t="str">
        <x:v>ClickStop</x:v>
      </x:c>
      <x:c r="G197" s="30" t="str">
        <x:v>Reparação Desktop</x:v>
      </x:c>
      <x:c r="H197" s="34" t="str"/>
      <x:c r="I197" s="34" t="n">
        <x:v>1</x:v>
      </x:c>
      <x:c r="J197" s="34" t="n">
        <x:f>IF(B197="","",SUMIFS($H$5:$H$500,$B$5:$B$500,B197,$A$5:$A$500,"&lt;="&amp;A197)-SUMIFS($I$5:$I$500,$B$5:$B$500,B197,$A$5:$A$500,"&lt;="&amp;A197))</x:f>
        <x:v>3.5</x:v>
      </x:c>
      <x:c r="K197" s="30" t="str">
        <x:f>IF(B197="","",IF(J197&lt;=0,"ESGOTADO",IF(J197&lt;=Config!$H$2,"SALDO CRÍTICO",IF(J197&lt;=Config!$H$3,"SALDO BAIXO","OK"))))</x:f>
        <x:v>OK</x:v>
      </x:c>
      <x:c r="L197" s="34" t="n">
        <x:v>3.5</x:v>
      </x:c>
      <x:c r="M197" s="30" t="str">
        <x:v>ODD</x:v>
      </x:c>
    </x:row>
    <x:row r="198">
      <x:c r="A198" s="30" t="n">
        <x:v>194</x:v>
      </x:c>
      <x:c r="B198" s="30" t="str">
        <x:v>ODD</x:v>
      </x:c>
      <x:c r="C198" s="32" t="n">
        <x:v>45511</x:v>
      </x:c>
      <x:c r="D198" s="30" t="str">
        <x:v>Intervenção</x:v>
      </x:c>
      <x:c r="E198" s="30" t="str"/>
      <x:c r="F198" s="30" t="str">
        <x:v>ClickStop</x:v>
      </x:c>
      <x:c r="G198" s="30" t="str">
        <x:v>Assistência Remota André e Selma</x:v>
      </x:c>
      <x:c r="H198" s="34" t="str"/>
      <x:c r="I198" s="34" t="n">
        <x:v>0.5</x:v>
      </x:c>
      <x:c r="J198" s="34" t="n">
        <x:f>IF(B198="","",SUMIFS($H$5:$H$500,$B$5:$B$500,B198,$A$5:$A$500,"&lt;="&amp;A198)-SUMIFS($I$5:$I$500,$B$5:$B$500,B198,$A$5:$A$500,"&lt;="&amp;A198))</x:f>
        <x:v>3</x:v>
      </x:c>
      <x:c r="K198" s="30" t="str">
        <x:f>IF(B198="","",IF(J198&lt;=0,"ESGOTADO",IF(J198&lt;=Config!$H$2,"SALDO CRÍTICO",IF(J198&lt;=Config!$H$3,"SALDO BAIXO","OK"))))</x:f>
        <x:v>OK</x:v>
      </x:c>
      <x:c r="L198" s="34" t="n">
        <x:v>3</x:v>
      </x:c>
      <x:c r="M198" s="30" t="str">
        <x:v>ODD</x:v>
      </x:c>
    </x:row>
    <x:row r="199">
      <x:c r="A199" s="30" t="n">
        <x:v>195</x:v>
      </x:c>
      <x:c r="B199" s="30" t="str">
        <x:v>ODD</x:v>
      </x:c>
      <x:c r="C199" s="32" t="n">
        <x:v>45604</x:v>
      </x:c>
      <x:c r="D199" s="30" t="str">
        <x:v>Intervenção</x:v>
      </x:c>
      <x:c r="E199" s="30" t="str"/>
      <x:c r="F199" s="30" t="str">
        <x:v>ClickStop</x:v>
      </x:c>
      <x:c r="G199" s="30" t="str">
        <x:v>Assistência Remota André sincronização QNAP</x:v>
      </x:c>
      <x:c r="H199" s="34" t="str"/>
      <x:c r="I199" s="34" t="n">
        <x:v>0.5</x:v>
      </x:c>
      <x:c r="J199" s="34" t="n">
        <x:f>IF(B199="","",SUMIFS($H$5:$H$500,$B$5:$B$500,B199,$A$5:$A$500,"&lt;="&amp;A199)-SUMIFS($I$5:$I$500,$B$5:$B$500,B199,$A$5:$A$500,"&lt;="&amp;A199))</x:f>
        <x:v>2.5</x:v>
      </x:c>
      <x:c r="K199" s="30" t="str">
        <x:f>IF(B199="","",IF(J199&lt;=0,"ESGOTADO",IF(J199&lt;=Config!$H$2,"SALDO CRÍTICO",IF(J199&lt;=Config!$H$3,"SALDO BAIXO","OK"))))</x:f>
        <x:v>OK</x:v>
      </x:c>
      <x:c r="L199" s="34" t="n">
        <x:v>2.5</x:v>
      </x:c>
      <x:c r="M199" s="30" t="str">
        <x:v>ODD</x:v>
      </x:c>
    </x:row>
    <x:row r="200">
      <x:c r="A200" s="30" t="n">
        <x:v>196</x:v>
      </x:c>
      <x:c r="B200" s="30" t="str">
        <x:v>Paint&amp;Go</x:v>
      </x:c>
      <x:c r="C200" s="32" t="n">
        <x:v>45659</x:v>
      </x:c>
      <x:c r="D200" s="30" t="str">
        <x:v>Compra</x:v>
      </x:c>
      <x:c r="E200" s="30" t="str"/>
      <x:c r="F200" s="30" t="str"/>
      <x:c r="G200" s="30" t="str">
        <x:v>Aquisição Pack 10 Horas</x:v>
      </x:c>
      <x:c r="H200" s="34" t="n">
        <x:v>10</x:v>
      </x:c>
      <x:c r="I200" s="34" t="str"/>
      <x:c r="J200" s="34" t="n">
        <x:f>IF(B200="","",SUMIFS($H$5:$H$500,$B$5:$B$500,B200,$A$5:$A$500,"&lt;="&amp;A200)-SUMIFS($I$5:$I$500,$B$5:$B$500,B200,$A$5:$A$500,"&lt;="&amp;A200))</x:f>
        <x:v>10</x:v>
      </x:c>
      <x:c r="K200" s="30" t="str">
        <x:f>IF(B200="","",IF(J200&lt;=0,"ESGOTADO",IF(J200&lt;=Config!$H$2,"SALDO CRÍTICO",IF(J200&lt;=Config!$H$3,"SALDO BAIXO","OK"))))</x:f>
        <x:v>OK</x:v>
      </x:c>
      <x:c r="L200" s="34" t="n">
        <x:v>10</x:v>
      </x:c>
      <x:c r="M200" s="30" t="str">
        <x:v>Paint&amp;Go</x:v>
      </x:c>
    </x:row>
    <x:row r="201">
      <x:c r="A201" s="30" t="n">
        <x:v>197</x:v>
      </x:c>
      <x:c r="B201" s="30" t="str">
        <x:v>Paint&amp;Go</x:v>
      </x:c>
      <x:c r="C201" s="32" t="n">
        <x:v>45659</x:v>
      </x:c>
      <x:c r="D201" s="30" t="str">
        <x:v>Intervenção</x:v>
      </x:c>
      <x:c r="E201" s="30" t="str"/>
      <x:c r="F201" s="30" t="str"/>
      <x:c r="G201" s="30" t="str">
        <x:v>Apoio Keymaster</x:v>
      </x:c>
      <x:c r="H201" s="34" t="str"/>
      <x:c r="I201" s="34" t="n">
        <x:v>6</x:v>
      </x:c>
      <x:c r="J201" s="34" t="n">
        <x:f>IF(B201="","",SUMIFS($H$5:$H$500,$B$5:$B$500,B201,$A$5:$A$500,"&lt;="&amp;A201)-SUMIFS($I$5:$I$500,$B$5:$B$500,B201,$A$5:$A$500,"&lt;="&amp;A201))</x:f>
        <x:v>4</x:v>
      </x:c>
      <x:c r="K201" s="30" t="str">
        <x:f>IF(B201="","",IF(J201&lt;=0,"ESGOTADO",IF(J201&lt;=Config!$H$2,"SALDO CRÍTICO",IF(J201&lt;=Config!$H$3,"SALDO BAIXO","OK"))))</x:f>
        <x:v>OK</x:v>
      </x:c>
      <x:c r="L201" s="34" t="n">
        <x:v>4</x:v>
      </x:c>
      <x:c r="M201" s="30" t="str">
        <x:v>Paint&amp;Go</x:v>
      </x:c>
    </x:row>
    <x:row r="202">
      <x:c r="A202" s="30" t="n">
        <x:v>198</x:v>
      </x:c>
      <x:c r="B202" s="30" t="str">
        <x:v>Paint&amp;Go</x:v>
      </x:c>
      <x:c r="C202" s="32" t="n">
        <x:v>45741</x:v>
      </x:c>
      <x:c r="D202" s="30" t="str">
        <x:v>Intervenção</x:v>
      </x:c>
      <x:c r="E202" s="30" t="str"/>
      <x:c r="F202" s="30" t="str">
        <x:v>LL</x:v>
      </x:c>
      <x:c r="G202" s="30" t="str">
        <x:v>Instalações Diversas Questões incluindo NC Moloni</x:v>
      </x:c>
      <x:c r="H202" s="34" t="str"/>
      <x:c r="I202" s="34" t="n">
        <x:v>1</x:v>
      </x:c>
      <x:c r="J202" s="34" t="n">
        <x:f>IF(B202="","",SUMIFS($H$5:$H$500,$B$5:$B$500,B202,$A$5:$A$500,"&lt;="&amp;A202)-SUMIFS($I$5:$I$500,$B$5:$B$500,B202,$A$5:$A$500,"&lt;="&amp;A202))</x:f>
        <x:v>3</x:v>
      </x:c>
      <x:c r="K202" s="30" t="str">
        <x:f>IF(B202="","",IF(J202&lt;=0,"ESGOTADO",IF(J202&lt;=Config!$H$2,"SALDO CRÍTICO",IF(J202&lt;=Config!$H$3,"SALDO BAIXO","OK"))))</x:f>
        <x:v>OK</x:v>
      </x:c>
      <x:c r="L202" s="34" t="n">
        <x:v>3</x:v>
      </x:c>
      <x:c r="M202" s="30" t="str">
        <x:v>Paint&amp;Go</x:v>
      </x:c>
    </x:row>
    <x:row r="203">
      <x:c r="A203" s="30" t="n">
        <x:v>199</x:v>
      </x:c>
      <x:c r="B203" s="30" t="str">
        <x:v>Paint&amp;Go</x:v>
      </x:c>
      <x:c r="C203" s="32" t="n">
        <x:v>45958</x:v>
      </x:c>
      <x:c r="D203" s="30" t="str">
        <x:v>Intervenção</x:v>
      </x:c>
      <x:c r="E203" s="30" t="str"/>
      <x:c r="F203" s="30" t="str">
        <x:v>IL</x:v>
      </x:c>
      <x:c r="G203" s="30" t="str">
        <x:v>Colocado router de emprestimo</x:v>
      </x:c>
      <x:c r="H203" s="34" t="str"/>
      <x:c r="I203" s="34" t="n">
        <x:v>1</x:v>
      </x:c>
      <x:c r="J203" s="34" t="n">
        <x:f>IF(B203="","",SUMIFS($H$5:$H$500,$B$5:$B$500,B203,$A$5:$A$500,"&lt;="&amp;A203)-SUMIFS($I$5:$I$500,$B$5:$B$500,B203,$A$5:$A$500,"&lt;="&amp;A203))</x:f>
        <x:v>2</x:v>
      </x:c>
      <x:c r="K203" s="30" t="str">
        <x:f>IF(B203="","",IF(J203&lt;=0,"ESGOTADO",IF(J203&lt;=Config!$H$2,"SALDO CRÍTICO",IF(J203&lt;=Config!$H$3,"SALDO BAIXO","OK"))))</x:f>
        <x:v>SALDO BAIXO</x:v>
      </x:c>
      <x:c r="L203" s="34" t="n">
        <x:v>0</x:v>
      </x:c>
      <x:c r="M203" s="30" t="str">
        <x:v>Paint&amp;Go</x:v>
      </x:c>
    </x:row>
    <x:row r="204">
      <x:c r="A204" s="30" t="n">
        <x:v>200</x:v>
      </x:c>
      <x:c r="B204" s="30" t="str">
        <x:v>Paint&amp;Go</x:v>
      </x:c>
      <x:c r="C204" s="32"/>
      <x:c r="D204" s="30" t="str">
        <x:v>Intervenção</x:v>
      </x:c>
      <x:c r="E204" s="30" t="str"/>
      <x:c r="F204" s="30" t="str"/>
      <x:c r="G204" s="30" t="str">
        <x:v>AR apoio Keymaster</x:v>
      </x:c>
      <x:c r="H204" s="34" t="str"/>
      <x:c r="I204" s="34" t="n">
        <x:v>2</x:v>
      </x:c>
      <x:c r="J204" s="34" t="n">
        <x:f>IF(B204="","",SUMIFS($H$5:$H$500,$B$5:$B$500,B204,$A$5:$A$500,"&lt;="&amp;A204)-SUMIFS($I$5:$I$500,$B$5:$B$500,B204,$A$5:$A$500,"&lt;="&amp;A204))</x:f>
        <x:v>0</x:v>
      </x:c>
      <x:c r="K204" s="30" t="str">
        <x:f>IF(B204="","",IF(J204&lt;=0,"ESGOTADO",IF(J204&lt;=Config!$H$2,"SALDO CRÍTICO",IF(J204&lt;=Config!$H$3,"SALDO BAIXO","OK"))))</x:f>
        <x:v>ESGOTADO</x:v>
      </x:c>
      <x:c r="L204" s="34" t="n">
        <x:v>1</x:v>
      </x:c>
      <x:c r="M204" s="30" t="str">
        <x:v>Paint&amp;Go</x:v>
      </x:c>
    </x:row>
    <x:row r="205">
      <x:c r="A205" s="30" t="n">
        <x:v>201</x:v>
      </x:c>
      <x:c r="B205" s="30" t="str">
        <x:v>PARÁGRAFO EXCLUSIVO</x:v>
      </x:c>
      <x:c r="C205" s="32" t="n">
        <x:v>45105</x:v>
      </x:c>
      <x:c r="D205" s="30" t="str">
        <x:v>Compra</x:v>
      </x:c>
      <x:c r="E205" s="30" t="str"/>
      <x:c r="F205" s="30" t="str"/>
      <x:c r="G205" s="30" t="str">
        <x:v>Aquisição Pack 10 Horas</x:v>
      </x:c>
      <x:c r="H205" s="34" t="n">
        <x:v>10</x:v>
      </x:c>
      <x:c r="I205" s="34" t="str"/>
      <x:c r="J205" s="34" t="n">
        <x:f>IF(B205="","",SUMIFS($H$5:$H$500,$B$5:$B$500,B205,$A$5:$A$500,"&lt;="&amp;A205)-SUMIFS($I$5:$I$500,$B$5:$B$500,B205,$A$5:$A$500,"&lt;="&amp;A205))</x:f>
        <x:v>10</x:v>
      </x:c>
      <x:c r="K205" s="30" t="str">
        <x:f>IF(B205="","",IF(J205&lt;=0,"ESGOTADO",IF(J205&lt;=Config!$H$2,"SALDO CRÍTICO",IF(J205&lt;=Config!$H$3,"SALDO BAIXO","OK"))))</x:f>
        <x:v>OK</x:v>
      </x:c>
      <x:c r="L205" s="34" t="n">
        <x:v>10</x:v>
      </x:c>
      <x:c r="M205" s="30" t="str">
        <x:v>PARÁGRAFO EXCLUSIVO (FROLEXPLOR</x:v>
      </x:c>
    </x:row>
    <x:row r="206">
      <x:c r="A206" s="30" t="n">
        <x:v>202</x:v>
      </x:c>
      <x:c r="B206" s="30" t="str">
        <x:v>PARÁGRAFO EXCLUSIVO</x:v>
      </x:c>
      <x:c r="C206" s="32" t="n">
        <x:v>45105</x:v>
      </x:c>
      <x:c r="D206" s="30" t="str">
        <x:v>Intervenção</x:v>
      </x:c>
      <x:c r="E206" s="30" t="str"/>
      <x:c r="F206" s="30" t="str">
        <x:v>ClickStop</x:v>
      </x:c>
      <x:c r="G206" s="30" t="str">
        <x:v>Suporte Informático</x:v>
      </x:c>
      <x:c r="H206" s="34" t="str"/>
      <x:c r="I206" s="34" t="n">
        <x:v>6</x:v>
      </x:c>
      <x:c r="J206" s="34" t="n">
        <x:f>IF(B206="","",SUMIFS($H$5:$H$500,$B$5:$B$500,B206,$A$5:$A$500,"&lt;="&amp;A206)-SUMIFS($I$5:$I$500,$B$5:$B$500,B206,$A$5:$A$500,"&lt;="&amp;A206))</x:f>
        <x:v>4</x:v>
      </x:c>
      <x:c r="K206" s="30" t="str">
        <x:f>IF(B206="","",IF(J206&lt;=0,"ESGOTADO",IF(J206&lt;=Config!$H$2,"SALDO CRÍTICO",IF(J206&lt;=Config!$H$3,"SALDO BAIXO","OK"))))</x:f>
        <x:v>OK</x:v>
      </x:c>
      <x:c r="L206" s="34" t="n">
        <x:v>4</x:v>
      </x:c>
      <x:c r="M206" s="30" t="str">
        <x:v>PARÁGRAFO EXCLUSIVO (FROLEXPLOR</x:v>
      </x:c>
    </x:row>
    <x:row r="207">
      <x:c r="A207" s="30" t="n">
        <x:v>203</x:v>
      </x:c>
      <x:c r="B207" s="30" t="str">
        <x:v>PARÁGRAFO EXCLUSIVO</x:v>
      </x:c>
      <x:c r="C207" s="32" t="n">
        <x:v>45282</x:v>
      </x:c>
      <x:c r="D207" s="30" t="str">
        <x:v>Intervenção</x:v>
      </x:c>
      <x:c r="E207" s="30" t="str"/>
      <x:c r="F207" s="30" t="str">
        <x:v>ClickStop</x:v>
      </x:c>
      <x:c r="G207" s="30" t="str">
        <x:v>Assistência Remota a Daniel  - Conta de Email</x:v>
      </x:c>
      <x:c r="H207" s="34" t="str"/>
      <x:c r="I207" s="34" t="n">
        <x:v>0.25</x:v>
      </x:c>
      <x:c r="J207" s="34" t="n">
        <x:f>IF(B207="","",SUMIFS($H$5:$H$500,$B$5:$B$500,B207,$A$5:$A$500,"&lt;="&amp;A207)-SUMIFS($I$5:$I$500,$B$5:$B$500,B207,$A$5:$A$500,"&lt;="&amp;A207))</x:f>
        <x:v>3.75</x:v>
      </x:c>
      <x:c r="K207" s="30" t="str">
        <x:f>IF(B207="","",IF(J207&lt;=0,"ESGOTADO",IF(J207&lt;=Config!$H$2,"SALDO CRÍTICO",IF(J207&lt;=Config!$H$3,"SALDO BAIXO","OK"))))</x:f>
        <x:v>OK</x:v>
      </x:c>
      <x:c r="L207" s="34" t="n">
        <x:v>3.75</x:v>
      </x:c>
      <x:c r="M207" s="30" t="str">
        <x:v>PARÁGRAFO EXCLUSIVO (FROLEXPLOR</x:v>
      </x:c>
    </x:row>
    <x:row r="208">
      <x:c r="A208" s="30" t="n">
        <x:v>204</x:v>
      </x:c>
      <x:c r="B208" s="30" t="str">
        <x:v>PARÁGRAFO EXCLUSIVO</x:v>
      </x:c>
      <x:c r="C208" s="32" t="n">
        <x:v>45471</x:v>
      </x:c>
      <x:c r="D208" s="30" t="str">
        <x:v>Intervenção</x:v>
      </x:c>
      <x:c r="E208" s="30" t="str"/>
      <x:c r="F208" s="30" t="str">
        <x:v>ClickStop</x:v>
      </x:c>
      <x:c r="G208" s="30" t="str">
        <x:v>Assistência Remota a Filipa Corte-Real</x:v>
      </x:c>
      <x:c r="H208" s="34" t="str"/>
      <x:c r="I208" s="34" t="n">
        <x:v>0.5</x:v>
      </x:c>
      <x:c r="J208" s="34" t="n">
        <x:f>IF(B208="","",SUMIFS($H$5:$H$500,$B$5:$B$500,B208,$A$5:$A$500,"&lt;="&amp;A208)-SUMIFS($I$5:$I$500,$B$5:$B$500,B208,$A$5:$A$500,"&lt;="&amp;A208))</x:f>
        <x:v>3.25</x:v>
      </x:c>
      <x:c r="K208" s="30" t="str">
        <x:f>IF(B208="","",IF(J208&lt;=0,"ESGOTADO",IF(J208&lt;=Config!$H$2,"SALDO CRÍTICO",IF(J208&lt;=Config!$H$3,"SALDO BAIXO","OK"))))</x:f>
        <x:v>OK</x:v>
      </x:c>
      <x:c r="L208" s="34" t="n">
        <x:v>3.25</x:v>
      </x:c>
      <x:c r="M208" s="30" t="str">
        <x:v>PARÁGRAFO EXCLUSIVO (FROLEXPLOR</x:v>
      </x:c>
    </x:row>
    <x:row r="209">
      <x:c r="A209" s="30" t="n">
        <x:v>205</x:v>
      </x:c>
      <x:c r="B209" s="30" t="str">
        <x:v>PARÁGRAFO EXCLUSIVO</x:v>
      </x:c>
      <x:c r="C209" s="32" t="n">
        <x:v>45590</x:v>
      </x:c>
      <x:c r="D209" s="30" t="str">
        <x:v>Intervenção</x:v>
      </x:c>
      <x:c r="E209" s="30" t="str"/>
      <x:c r="F209" s="30" t="str">
        <x:v>ClickStop</x:v>
      </x:c>
      <x:c r="G209" s="30" t="str">
        <x:v>Assistência Remota</x:v>
      </x:c>
      <x:c r="H209" s="34" t="str"/>
      <x:c r="I209" s="34" t="n">
        <x:v>1.75</x:v>
      </x:c>
      <x:c r="J209" s="34" t="n">
        <x:f>IF(B209="","",SUMIFS($H$5:$H$500,$B$5:$B$500,B209,$A$5:$A$500,"&lt;="&amp;A209)-SUMIFS($I$5:$I$500,$B$5:$B$500,B209,$A$5:$A$500,"&lt;="&amp;A209))</x:f>
        <x:v>1.5</x:v>
      </x:c>
      <x:c r="K209" s="30" t="str">
        <x:f>IF(B209="","",IF(J209&lt;=0,"ESGOTADO",IF(J209&lt;=Config!$H$2,"SALDO CRÍTICO",IF(J209&lt;=Config!$H$3,"SALDO BAIXO","OK"))))</x:f>
        <x:v>SALDO BAIXO</x:v>
      </x:c>
      <x:c r="L209" s="34" t="n">
        <x:v>1.5</x:v>
      </x:c>
      <x:c r="M209" s="30" t="str">
        <x:v>PARÁGRAFO EXCLUSIVO (FROLEXPLOR</x:v>
      </x:c>
    </x:row>
    <x:row r="210">
      <x:c r="A210" s="30" t="n">
        <x:v>206</x:v>
      </x:c>
      <x:c r="B210" s="30" t="str">
        <x:v>PARÁGRAFO EXCLUSIVO</x:v>
      </x:c>
      <x:c r="C210" s="32" t="n">
        <x:v>45639</x:v>
      </x:c>
      <x:c r="D210" s="30" t="str">
        <x:v>Intervenção</x:v>
      </x:c>
      <x:c r="E210" s="30" t="str"/>
      <x:c r="F210" s="30" t="str">
        <x:v>ClickStop</x:v>
      </x:c>
      <x:c r="G210" s="30" t="str">
        <x:v>Assistência Remota a Daniel</x:v>
      </x:c>
      <x:c r="H210" s="34" t="str"/>
      <x:c r="I210" s="34" t="n">
        <x:v>0.5</x:v>
      </x:c>
      <x:c r="J210" s="34" t="n">
        <x:f>IF(B210="","",SUMIFS($H$5:$H$500,$B$5:$B$500,B210,$A$5:$A$500,"&lt;="&amp;A210)-SUMIFS($I$5:$I$500,$B$5:$B$500,B210,$A$5:$A$500,"&lt;="&amp;A210))</x:f>
        <x:v>1</x:v>
      </x:c>
      <x:c r="K210" s="30" t="str">
        <x:f>IF(B210="","",IF(J210&lt;=0,"ESGOTADO",IF(J210&lt;=Config!$H$2,"SALDO CRÍTICO",IF(J210&lt;=Config!$H$3,"SALDO BAIXO","OK"))))</x:f>
        <x:v>SALDO CRÍTICO</x:v>
      </x:c>
      <x:c r="L210" s="34" t="n">
        <x:v>1</x:v>
      </x:c>
      <x:c r="M210" s="30" t="str">
        <x:v>PARÁGRAFO EXCLUSIVO (FROLEXPLOR</x:v>
      </x:c>
    </x:row>
    <x:row r="211">
      <x:c r="A211" s="30" t="n">
        <x:v>207</x:v>
      </x:c>
      <x:c r="B211" s="30" t="str">
        <x:v>PARÁGRAFO EXCLUSIVO</x:v>
      </x:c>
      <x:c r="C211" s="32" t="n">
        <x:v>46097</x:v>
      </x:c>
      <x:c r="D211" s="30" t="str">
        <x:v>Intervenção</x:v>
      </x:c>
      <x:c r="E211" s="30" t="str"/>
      <x:c r="F211" s="30" t="str">
        <x:v>ClickStop</x:v>
      </x:c>
      <x:c r="G211" s="30" t="str">
        <x:v>Configurar Dominio na GoDaddy</x:v>
      </x:c>
      <x:c r="H211" s="34" t="str"/>
      <x:c r="I211" s="34" t="n">
        <x:v>0.5</x:v>
      </x:c>
      <x:c r="J211" s="34" t="n">
        <x:f>IF(B211="","",SUMIFS($H$5:$H$500,$B$5:$B$500,B211,$A$5:$A$500,"&lt;="&amp;A211)-SUMIFS($I$5:$I$500,$B$5:$B$500,B211,$A$5:$A$500,"&lt;="&amp;A211))</x:f>
        <x:v>0.5</x:v>
      </x:c>
      <x:c r="K211" s="30" t="str">
        <x:f>IF(B211="","",IF(J211&lt;=0,"ESGOTADO",IF(J211&lt;=Config!$H$2,"SALDO CRÍTICO",IF(J211&lt;=Config!$H$3,"SALDO BAIXO","OK"))))</x:f>
        <x:v>SALDO CRÍTICO</x:v>
      </x:c>
      <x:c r="L211" s="34" t="n">
        <x:v>0.5</x:v>
      </x:c>
      <x:c r="M211" s="30" t="str">
        <x:v>PARÁGRAFO EXCLUSIVO (FROLEXPLOR</x:v>
      </x:c>
    </x:row>
    <x:row r="212">
      <x:c r="A212" s="30" t="n">
        <x:v>208</x:v>
      </x:c>
      <x:c r="B212" s="30" t="str">
        <x:v>PEAKWISE</x:v>
      </x:c>
      <x:c r="C212" s="32" t="n">
        <x:v>45470</x:v>
      </x:c>
      <x:c r="D212" s="30" t="str">
        <x:v>Compra</x:v>
      </x:c>
      <x:c r="E212" s="30" t="str"/>
      <x:c r="F212" s="30" t="str"/>
      <x:c r="G212" s="30" t="str">
        <x:v>Aquisição/Saldo inicial pack (arquivo)</x:v>
      </x:c>
      <x:c r="H212" s="34" t="n">
        <x:v>5</x:v>
      </x:c>
      <x:c r="I212" s="34" t="str"/>
      <x:c r="J212" s="34" t="n">
        <x:f>IF(B212="","",SUMIFS($H$5:$H$500,$B$5:$B$500,B212,$A$5:$A$500,"&lt;="&amp;A212)-SUMIFS($I$5:$I$500,$B$5:$B$500,B212,$A$5:$A$500,"&lt;="&amp;A212))</x:f>
        <x:v>5</x:v>
      </x:c>
      <x:c r="K212" s="30" t="str">
        <x:f>IF(B212="","",IF(J212&lt;=0,"ESGOTADO",IF(J212&lt;=Config!$H$2,"SALDO CRÍTICO",IF(J212&lt;=Config!$H$3,"SALDO BAIXO","OK"))))</x:f>
        <x:v>OK</x:v>
      </x:c>
      <x:c r="L212" s="34" t="str"/>
      <x:c r="M212" s="30" t="str">
        <x:v>PEAKWISE</x:v>
      </x:c>
    </x:row>
    <x:row r="213">
      <x:c r="A213" s="30" t="n">
        <x:v>209</x:v>
      </x:c>
      <x:c r="B213" s="30" t="str">
        <x:v>PEAKWISE</x:v>
      </x:c>
      <x:c r="C213" s="32" t="n">
        <x:v>45505</x:v>
      </x:c>
      <x:c r="D213" s="30" t="str">
        <x:v>Intervenção</x:v>
      </x:c>
      <x:c r="E213" s="30" t="str"/>
      <x:c r="F213" s="30" t="str"/>
      <x:c r="G213" s="30" t="str">
        <x:v>Configuração computador Francisco Santana Lopes</x:v>
      </x:c>
      <x:c r="H213" s="34" t="str"/>
      <x:c r="I213" s="34" t="n">
        <x:v>1</x:v>
      </x:c>
      <x:c r="J213" s="34" t="n">
        <x:f>IF(B213="","",SUMIFS($H$5:$H$500,$B$5:$B$500,B213,$A$5:$A$500,"&lt;="&amp;A213)-SUMIFS($I$5:$I$500,$B$5:$B$500,B213,$A$5:$A$500,"&lt;="&amp;A213))</x:f>
        <x:v>4</x:v>
      </x:c>
      <x:c r="K213" s="30" t="str">
        <x:f>IF(B213="","",IF(J213&lt;=0,"ESGOTADO",IF(J213&lt;=Config!$H$2,"SALDO CRÍTICO",IF(J213&lt;=Config!$H$3,"SALDO BAIXO","OK"))))</x:f>
        <x:v>OK</x:v>
      </x:c>
      <x:c r="L213" s="34" t="str"/>
      <x:c r="M213" s="30" t="str">
        <x:v>PEAKWISE</x:v>
      </x:c>
    </x:row>
    <x:row r="214">
      <x:c r="A214" s="30" t="n">
        <x:v>210</x:v>
      </x:c>
      <x:c r="B214" s="30" t="str">
        <x:v>PEAKWISE</x:v>
      </x:c>
      <x:c r="C214" s="32" t="n">
        <x:v>45583</x:v>
      </x:c>
      <x:c r="D214" s="30" t="str">
        <x:v>Intervenção</x:v>
      </x:c>
      <x:c r="E214" s="30" t="str"/>
      <x:c r="F214" s="30" t="str"/>
      <x:c r="G214" s="30" t="str">
        <x:v>Configuração computador estagiario Manuel Sergio</x:v>
      </x:c>
      <x:c r="H214" s="34" t="str"/>
      <x:c r="I214" s="34" t="n">
        <x:v>0.5</x:v>
      </x:c>
      <x:c r="J214" s="34" t="n">
        <x:f>IF(B214="","",SUMIFS($H$5:$H$500,$B$5:$B$500,B214,$A$5:$A$500,"&lt;="&amp;A214)-SUMIFS($I$5:$I$500,$B$5:$B$500,B214,$A$5:$A$500,"&lt;="&amp;A214))</x:f>
        <x:v>3.5</x:v>
      </x:c>
      <x:c r="K214" s="30" t="str">
        <x:f>IF(B214="","",IF(J214&lt;=0,"ESGOTADO",IF(J214&lt;=Config!$H$2,"SALDO CRÍTICO",IF(J214&lt;=Config!$H$3,"SALDO BAIXO","OK"))))</x:f>
        <x:v>OK</x:v>
      </x:c>
      <x:c r="L214" s="34" t="str"/>
      <x:c r="M214" s="30" t="str">
        <x:v>PEAKWISE</x:v>
      </x:c>
    </x:row>
    <x:row r="215">
      <x:c r="A215" s="30" t="n">
        <x:v>211</x:v>
      </x:c>
      <x:c r="B215" s="30" t="str">
        <x:v>PEAKWISE</x:v>
      </x:c>
      <x:c r="C215" s="32" t="n">
        <x:v>45602</x:v>
      </x:c>
      <x:c r="D215" s="30" t="str">
        <x:v>Intervenção</x:v>
      </x:c>
      <x:c r="E215" s="30" t="str"/>
      <x:c r="F215" s="30" t="str"/>
      <x:c r="G215" s="30" t="str">
        <x:v>AR Marta Cofnig. Driver Gráfica</x:v>
      </x:c>
      <x:c r="H215" s="34" t="str"/>
      <x:c r="I215" s="34" t="n">
        <x:v>0.5</x:v>
      </x:c>
      <x:c r="J215" s="34" t="n">
        <x:f>IF(B215="","",SUMIFS($H$5:$H$500,$B$5:$B$500,B215,$A$5:$A$500,"&lt;="&amp;A215)-SUMIFS($I$5:$I$500,$B$5:$B$500,B215,$A$5:$A$500,"&lt;="&amp;A215))</x:f>
        <x:v>3</x:v>
      </x:c>
      <x:c r="K215" s="30" t="str">
        <x:f>IF(B215="","",IF(J215&lt;=0,"ESGOTADO",IF(J215&lt;=Config!$H$2,"SALDO CRÍTICO",IF(J215&lt;=Config!$H$3,"SALDO BAIXO","OK"))))</x:f>
        <x:v>OK</x:v>
      </x:c>
      <x:c r="L215" s="34" t="str"/>
      <x:c r="M215" s="30" t="str">
        <x:v>PEAKWISE</x:v>
      </x:c>
    </x:row>
    <x:row r="216">
      <x:c r="A216" s="30" t="n">
        <x:v>212</x:v>
      </x:c>
      <x:c r="B216" s="30" t="str">
        <x:v>PEAKWISE</x:v>
      </x:c>
      <x:c r="C216" s="32" t="n">
        <x:v>45608</x:v>
      </x:c>
      <x:c r="D216" s="30" t="str">
        <x:v>Intervenção</x:v>
      </x:c>
      <x:c r="E216" s="30" t="str"/>
      <x:c r="F216" s="30" t="str"/>
      <x:c r="G216" s="30" t="str">
        <x:v>AR Setup pc novo Maria Graça</x:v>
      </x:c>
      <x:c r="H216" s="34" t="str"/>
      <x:c r="I216" s="34" t="n">
        <x:v>0.5</x:v>
      </x:c>
      <x:c r="J216" s="34" t="n">
        <x:f>IF(B216="","",SUMIFS($H$5:$H$500,$B$5:$B$500,B216,$A$5:$A$500,"&lt;="&amp;A216)-SUMIFS($I$5:$I$500,$B$5:$B$500,B216,$A$5:$A$500,"&lt;="&amp;A216))</x:f>
        <x:v>2.5</x:v>
      </x:c>
      <x:c r="K216" s="30" t="str">
        <x:f>IF(B216="","",IF(J216&lt;=0,"ESGOTADO",IF(J216&lt;=Config!$H$2,"SALDO CRÍTICO",IF(J216&lt;=Config!$H$3,"SALDO BAIXO","OK"))))</x:f>
        <x:v>OK</x:v>
      </x:c>
      <x:c r="L216" s="34" t="str"/>
      <x:c r="M216" s="30" t="str">
        <x:v>PEAKWISE</x:v>
      </x:c>
    </x:row>
    <x:row r="217">
      <x:c r="A217" s="30" t="n">
        <x:v>213</x:v>
      </x:c>
      <x:c r="B217" s="30" t="str">
        <x:v>PEAKWISE</x:v>
      </x:c>
      <x:c r="C217" s="32" t="n">
        <x:v>45685</x:v>
      </x:c>
      <x:c r="D217" s="30" t="str">
        <x:v>Intervenção</x:v>
      </x:c>
      <x:c r="E217" s="30" t="str"/>
      <x:c r="F217" s="30" t="str"/>
      <x:c r="G217" s="30" t="str">
        <x:v>AR Graça problema com monitor/driver gráfica</x:v>
      </x:c>
      <x:c r="H217" s="34" t="str"/>
      <x:c r="I217" s="34" t="n">
        <x:v>0.5</x:v>
      </x:c>
      <x:c r="J217" s="34" t="n">
        <x:f>IF(B217="","",SUMIFS($H$5:$H$500,$B$5:$B$500,B217,$A$5:$A$500,"&lt;="&amp;A217)-SUMIFS($I$5:$I$500,$B$5:$B$500,B217,$A$5:$A$500,"&lt;="&amp;A217))</x:f>
        <x:v>2</x:v>
      </x:c>
      <x:c r="K217" s="30" t="str">
        <x:f>IF(B217="","",IF(J217&lt;=0,"ESGOTADO",IF(J217&lt;=Config!$H$2,"SALDO CRÍTICO",IF(J217&lt;=Config!$H$3,"SALDO BAIXO","OK"))))</x:f>
        <x:v>SALDO BAIXO</x:v>
      </x:c>
      <x:c r="L217" s="34" t="str"/>
      <x:c r="M217" s="30" t="str">
        <x:v>PEAKWISE</x:v>
      </x:c>
    </x:row>
    <x:row r="218">
      <x:c r="A218" s="30" t="n">
        <x:v>214</x:v>
      </x:c>
      <x:c r="B218" s="30" t="str">
        <x:v>PEAKWISE</x:v>
      </x:c>
      <x:c r="C218" s="32" t="n">
        <x:v>45832</x:v>
      </x:c>
      <x:c r="D218" s="30" t="str">
        <x:v>Intervenção</x:v>
      </x:c>
      <x:c r="E218" s="30" t="str"/>
      <x:c r="F218" s="30" t="str"/>
      <x:c r="G218" s="30" t="str">
        <x:v>Configuração computador João Pereira Jesus</x:v>
      </x:c>
      <x:c r="H218" s="34" t="str"/>
      <x:c r="I218" s="34" t="n">
        <x:v>1</x:v>
      </x:c>
      <x:c r="J218" s="34" t="n">
        <x:f>IF(B218="","",SUMIFS($H$5:$H$500,$B$5:$B$500,B218,$A$5:$A$500,"&lt;="&amp;A218)-SUMIFS($I$5:$I$500,$B$5:$B$500,B218,$A$5:$A$500,"&lt;="&amp;A218))</x:f>
        <x:v>1</x:v>
      </x:c>
      <x:c r="K218" s="30" t="str">
        <x:f>IF(B218="","",IF(J218&lt;=0,"ESGOTADO",IF(J218&lt;=Config!$H$2,"SALDO CRÍTICO",IF(J218&lt;=Config!$H$3,"SALDO BAIXO","OK"))))</x:f>
        <x:v>SALDO CRÍTICO</x:v>
      </x:c>
      <x:c r="L218" s="34" t="str"/>
      <x:c r="M218" s="30" t="str">
        <x:v>PEAKWISE</x:v>
      </x:c>
    </x:row>
    <x:row r="219">
      <x:c r="A219" s="30" t="n">
        <x:v>215</x:v>
      </x:c>
      <x:c r="B219" s="30" t="str">
        <x:v>PEAKWISE</x:v>
      </x:c>
      <x:c r="C219" s="32" t="n">
        <x:v>45860</x:v>
      </x:c>
      <x:c r="D219" s="30" t="str">
        <x:v>Compra</x:v>
      </x:c>
      <x:c r="E219" s="30" t="str"/>
      <x:c r="F219" s="30" t="str"/>
      <x:c r="G219" s="30" t="str">
        <x:v>Aquisição/Saldo inicial pack (arquivo)</x:v>
      </x:c>
      <x:c r="H219" s="34" t="n">
        <x:v>5</x:v>
      </x:c>
      <x:c r="I219" s="34" t="str"/>
      <x:c r="J219" s="34" t="n">
        <x:f>IF(B219="","",SUMIFS($H$5:$H$500,$B$5:$B$500,B219,$A$5:$A$500,"&lt;="&amp;A219)-SUMIFS($I$5:$I$500,$B$5:$B$500,B219,$A$5:$A$500,"&lt;="&amp;A219))</x:f>
        <x:v>6</x:v>
      </x:c>
      <x:c r="K219" s="30" t="str">
        <x:f>IF(B219="","",IF(J219&lt;=0,"ESGOTADO",IF(J219&lt;=Config!$H$2,"SALDO CRÍTICO",IF(J219&lt;=Config!$H$3,"SALDO BAIXO","OK"))))</x:f>
        <x:v>OK</x:v>
      </x:c>
      <x:c r="L219" s="34" t="str"/>
      <x:c r="M219" s="30" t="str">
        <x:v>PEAKWISE</x:v>
      </x:c>
    </x:row>
    <x:row r="220">
      <x:c r="A220" s="30" t="n">
        <x:v>216</x:v>
      </x:c>
      <x:c r="B220" s="30" t="str">
        <x:v>PEAKWISE</x:v>
      </x:c>
      <x:c r="C220" s="32" t="n">
        <x:v>45860</x:v>
      </x:c>
      <x:c r="D220" s="30" t="str">
        <x:v>Intervenção</x:v>
      </x:c>
      <x:c r="E220" s="30" t="str"/>
      <x:c r="F220" s="30" t="str"/>
      <x:c r="G220" s="30" t="str">
        <x:v>Configurar computador Tomás de Castro</x:v>
      </x:c>
      <x:c r="H220" s="34" t="str"/>
      <x:c r="I220" s="34" t="n">
        <x:v>1</x:v>
      </x:c>
      <x:c r="J220" s="34" t="n">
        <x:f>IF(B220="","",SUMIFS($H$5:$H$500,$B$5:$B$500,B220,$A$5:$A$500,"&lt;="&amp;A220)-SUMIFS($I$5:$I$500,$B$5:$B$500,B220,$A$5:$A$500,"&lt;="&amp;A220))</x:f>
        <x:v>5</x:v>
      </x:c>
      <x:c r="K220" s="30" t="str">
        <x:f>IF(B220="","",IF(J220&lt;=0,"ESGOTADO",IF(J220&lt;=Config!$H$2,"SALDO CRÍTICO",IF(J220&lt;=Config!$H$3,"SALDO BAIXO","OK"))))</x:f>
        <x:v>OK</x:v>
      </x:c>
      <x:c r="L220" s="34" t="str"/>
      <x:c r="M220" s="30" t="str">
        <x:v>PEAKWISE</x:v>
      </x:c>
    </x:row>
    <x:row r="221">
      <x:c r="A221" s="30" t="n">
        <x:v>217</x:v>
      </x:c>
      <x:c r="B221" s="30" t="str">
        <x:v>PEAKWISE</x:v>
      </x:c>
      <x:c r="C221" s="32" t="n">
        <x:v>45866</x:v>
      </x:c>
      <x:c r="D221" s="30" t="str">
        <x:v>Intervenção</x:v>
      </x:c>
      <x:c r="E221" s="30" t="str"/>
      <x:c r="F221" s="30" t="str"/>
      <x:c r="G221" s="30" t="str">
        <x:v>Configuração computador Tomas de Castro antigo do Manuel Sergio</x:v>
      </x:c>
      <x:c r="H221" s="34" t="str"/>
      <x:c r="I221" s="34" t="n">
        <x:v>0.5</x:v>
      </x:c>
      <x:c r="J221" s="34" t="n">
        <x:f>IF(B221="","",SUMIFS($H$5:$H$500,$B$5:$B$500,B221,$A$5:$A$500,"&lt;="&amp;A221)-SUMIFS($I$5:$I$500,$B$5:$B$500,B221,$A$5:$A$500,"&lt;="&amp;A221))</x:f>
        <x:v>4.5</x:v>
      </x:c>
      <x:c r="K221" s="30" t="str">
        <x:f>IF(B221="","",IF(J221&lt;=0,"ESGOTADO",IF(J221&lt;=Config!$H$2,"SALDO CRÍTICO",IF(J221&lt;=Config!$H$3,"SALDO BAIXO","OK"))))</x:f>
        <x:v>OK</x:v>
      </x:c>
      <x:c r="L221" s="34" t="str"/>
      <x:c r="M221" s="30" t="str">
        <x:v>PEAKWISE</x:v>
      </x:c>
    </x:row>
    <x:row r="222">
      <x:c r="A222" s="30" t="n">
        <x:v>218</x:v>
      </x:c>
      <x:c r="B222" s="30" t="str">
        <x:v>PEAKWISE</x:v>
      </x:c>
      <x:c r="C222" s="32" t="n">
        <x:v>45911</x:v>
      </x:c>
      <x:c r="D222" s="30" t="str">
        <x:v>Intervenção</x:v>
      </x:c>
      <x:c r="E222" s="30" t="str"/>
      <x:c r="F222" s="30" t="str"/>
      <x:c r="G222" s="30" t="str">
        <x:v>Ajuda a Graça com VPN e Programa de Faturação</x:v>
      </x:c>
      <x:c r="H222" s="34" t="str"/>
      <x:c r="I222" s="34" t="n">
        <x:v>0.5</x:v>
      </x:c>
      <x:c r="J222" s="34" t="n">
        <x:f>IF(B222="","",SUMIFS($H$5:$H$500,$B$5:$B$500,B222,$A$5:$A$500,"&lt;="&amp;A222)-SUMIFS($I$5:$I$500,$B$5:$B$500,B222,$A$5:$A$500,"&lt;="&amp;A222))</x:f>
        <x:v>4</x:v>
      </x:c>
      <x:c r="K222" s="30" t="str">
        <x:f>IF(B222="","",IF(J222&lt;=0,"ESGOTADO",IF(J222&lt;=Config!$H$2,"SALDO CRÍTICO",IF(J222&lt;=Config!$H$3,"SALDO BAIXO","OK"))))</x:f>
        <x:v>OK</x:v>
      </x:c>
      <x:c r="L222" s="34" t="str"/>
      <x:c r="M222" s="30" t="str">
        <x:v>PEAKWISE</x:v>
      </x:c>
    </x:row>
    <x:row r="223">
      <x:c r="A223" s="30" t="n">
        <x:v>219</x:v>
      </x:c>
      <x:c r="B223" s="30" t="str">
        <x:v>PEAKWISE</x:v>
      </x:c>
      <x:c r="C223" s="32" t="n">
        <x:v>45939</x:v>
      </x:c>
      <x:c r="D223" s="30" t="str">
        <x:v>Intervenção</x:v>
      </x:c>
      <x:c r="E223" s="30" t="str"/>
      <x:c r="F223" s="30" t="str"/>
      <x:c r="G223" s="30" t="str">
        <x:v>AR Configurar PC para Francisco Meneres</x:v>
      </x:c>
      <x:c r="H223" s="34" t="str"/>
      <x:c r="I223" s="34" t="n">
        <x:v>0.5</x:v>
      </x:c>
      <x:c r="J223" s="34" t="n">
        <x:f>IF(B223="","",SUMIFS($H$5:$H$500,$B$5:$B$500,B223,$A$5:$A$500,"&lt;="&amp;A223)-SUMIFS($I$5:$I$500,$B$5:$B$500,B223,$A$5:$A$500,"&lt;="&amp;A223))</x:f>
        <x:v>3.5</x:v>
      </x:c>
      <x:c r="K223" s="30" t="str">
        <x:f>IF(B223="","",IF(J223&lt;=0,"ESGOTADO",IF(J223&lt;=Config!$H$2,"SALDO CRÍTICO",IF(J223&lt;=Config!$H$3,"SALDO BAIXO","OK"))))</x:f>
        <x:v>OK</x:v>
      </x:c>
      <x:c r="L223" s="34" t="str"/>
      <x:c r="M223" s="30" t="str">
        <x:v>PEAKWISE</x:v>
      </x:c>
    </x:row>
    <x:row r="224">
      <x:c r="A224" s="30" t="n">
        <x:v>220</x:v>
      </x:c>
      <x:c r="B224" s="30" t="str">
        <x:v>PEAKWISE</x:v>
      </x:c>
      <x:c r="C224" s="32" t="n">
        <x:v>45946</x:v>
      </x:c>
      <x:c r="D224" s="30" t="str">
        <x:v>Intervenção</x:v>
      </x:c>
      <x:c r="E224" s="30" t="str"/>
      <x:c r="F224" s="30" t="str"/>
      <x:c r="G224" s="30" t="str">
        <x:v>A.R.Graça Peakwise com Problema VPN e Faturaçao</x:v>
      </x:c>
      <x:c r="H224" s="34" t="str"/>
      <x:c r="I224" s="34" t="n">
        <x:v>0.5</x:v>
      </x:c>
      <x:c r="J224" s="34" t="n">
        <x:f>IF(B224="","",SUMIFS($H$5:$H$500,$B$5:$B$500,B224,$A$5:$A$500,"&lt;="&amp;A224)-SUMIFS($I$5:$I$500,$B$5:$B$500,B224,$A$5:$A$500,"&lt;="&amp;A224))</x:f>
        <x:v>3</x:v>
      </x:c>
      <x:c r="K224" s="30" t="str">
        <x:f>IF(B224="","",IF(J224&lt;=0,"ESGOTADO",IF(J224&lt;=Config!$H$2,"SALDO CRÍTICO",IF(J224&lt;=Config!$H$3,"SALDO BAIXO","OK"))))</x:f>
        <x:v>OK</x:v>
      </x:c>
      <x:c r="L224" s="34" t="str"/>
      <x:c r="M224" s="30" t="str">
        <x:v>PEAKWISE</x:v>
      </x:c>
    </x:row>
    <x:row r="225">
      <x:c r="A225" s="30" t="n">
        <x:v>221</x:v>
      </x:c>
      <x:c r="B225" s="30" t="str">
        <x:v>PEAKWISE</x:v>
      </x:c>
      <x:c r="C225" s="32" t="n">
        <x:v>46133</x:v>
      </x:c>
      <x:c r="D225" s="30" t="str">
        <x:v>Intervenção</x:v>
      </x:c>
      <x:c r="E225" s="30" t="str"/>
      <x:c r="F225" s="30" t="str"/>
      <x:c r="G225" s="30" t="str">
        <x:v>A.R. Marta Garnacho com Primavera</x:v>
      </x:c>
      <x:c r="H225" s="34" t="str"/>
      <x:c r="I225" s="34" t="n">
        <x:v>0.5</x:v>
      </x:c>
      <x:c r="J225" s="34" t="n">
        <x:f>IF(B225="","",SUMIFS($H$5:$H$500,$B$5:$B$500,B225,$A$5:$A$500,"&lt;="&amp;A225)-SUMIFS($I$5:$I$500,$B$5:$B$500,B225,$A$5:$A$500,"&lt;="&amp;A225))</x:f>
        <x:v>2.5</x:v>
      </x:c>
      <x:c r="K225" s="30" t="str">
        <x:f>IF(B225="","",IF(J225&lt;=0,"ESGOTADO",IF(J225&lt;=Config!$H$2,"SALDO CRÍTICO",IF(J225&lt;=Config!$H$3,"SALDO BAIXO","OK"))))</x:f>
        <x:v>OK</x:v>
      </x:c>
      <x:c r="L225" s="34" t="str"/>
      <x:c r="M225" s="30" t="str">
        <x:v>PEAKWISE</x:v>
      </x:c>
    </x:row>
    <x:row r="226">
      <x:c r="A226" s="30" t="n">
        <x:v>222</x:v>
      </x:c>
      <x:c r="B226" s="30" t="str">
        <x:v>PEAKWISE</x:v>
      </x:c>
      <x:c r="C226" s="32"/>
      <x:c r="D226" s="30" t="str">
        <x:v>Intervenção</x:v>
      </x:c>
      <x:c r="E226" s="30" t="str"/>
      <x:c r="F226" s="30" t="str"/>
      <x:c r="G226" s="30" t="str">
        <x:v>A. R. Francisco Santana Lopes questão com emails</x:v>
      </x:c>
      <x:c r="H226" s="34" t="str"/>
      <x:c r="I226" s="34" t="n">
        <x:v>1</x:v>
      </x:c>
      <x:c r="J226" s="34" t="n">
        <x:f>IF(B226="","",SUMIFS($H$5:$H$500,$B$5:$B$500,B226,$A$5:$A$500,"&lt;="&amp;A226)-SUMIFS($I$5:$I$500,$B$5:$B$500,B226,$A$5:$A$500,"&lt;="&amp;A226))</x:f>
        <x:v>1.5</x:v>
      </x:c>
      <x:c r="K226" s="30" t="str">
        <x:f>IF(B226="","",IF(J226&lt;=0,"ESGOTADO",IF(J226&lt;=Config!$H$2,"SALDO CRÍTICO",IF(J226&lt;=Config!$H$3,"SALDO BAIXO","OK"))))</x:f>
        <x:v>SALDO BAIXO</x:v>
      </x:c>
      <x:c r="L226" s="34" t="str"/>
      <x:c r="M226" s="30" t="str">
        <x:v>PEAKWISE</x:v>
      </x:c>
    </x:row>
    <x:row r="227">
      <x:c r="A227" s="30" t="n">
        <x:v>223</x:v>
      </x:c>
      <x:c r="B227" s="30" t="str">
        <x:v>PERCENTIL</x:v>
      </x:c>
      <x:c r="C227" s="32" t="n">
        <x:v>44705</x:v>
      </x:c>
      <x:c r="D227" s="30" t="str">
        <x:v>Compra</x:v>
      </x:c>
      <x:c r="E227" s="30" t="str"/>
      <x:c r="F227" s="30" t="str"/>
      <x:c r="G227" s="30" t="str">
        <x:v>Aquisição/Saldo inicial pack (arquivo)</x:v>
      </x:c>
      <x:c r="H227" s="34" t="n">
        <x:v>10</x:v>
      </x:c>
      <x:c r="I227" s="34" t="str"/>
      <x:c r="J227" s="34" t="n">
        <x:f>IF(B227="","",SUMIFS($H$5:$H$500,$B$5:$B$500,B227,$A$5:$A$500,"&lt;="&amp;A227)-SUMIFS($I$5:$I$500,$B$5:$B$500,B227,$A$5:$A$500,"&lt;="&amp;A227))</x:f>
        <x:v>10</x:v>
      </x:c>
      <x:c r="K227" s="30" t="str">
        <x:f>IF(B227="","",IF(J227&lt;=0,"ESGOTADO",IF(J227&lt;=Config!$H$2,"SALDO CRÍTICO",IF(J227&lt;=Config!$H$3,"SALDO BAIXO","OK"))))</x:f>
        <x:v>OK</x:v>
      </x:c>
      <x:c r="L227" s="34" t="str"/>
      <x:c r="M227" s="30" t="str">
        <x:v>PERCENTIL</x:v>
      </x:c>
    </x:row>
    <x:row r="228">
      <x:c r="A228" s="30" t="n">
        <x:v>224</x:v>
      </x:c>
      <x:c r="B228" s="30" t="str">
        <x:v>PERCENTIL</x:v>
      </x:c>
      <x:c r="C228" s="32" t="n">
        <x:v>44705</x:v>
      </x:c>
      <x:c r="D228" s="30" t="str">
        <x:v>Intervenção</x:v>
      </x:c>
      <x:c r="E228" s="30" t="str"/>
      <x:c r="F228" s="30" t="str"/>
      <x:c r="G228" s="30" t="str">
        <x:v>Intervenção (arquivo)</x:v>
      </x:c>
      <x:c r="H228" s="34" t="str"/>
      <x:c r="I228" s="34" t="n">
        <x:v>10</x:v>
      </x:c>
      <x:c r="J228" s="34" t="n">
        <x:f>IF(B228="","",SUMIFS($H$5:$H$500,$B$5:$B$500,B228,$A$5:$A$500,"&lt;="&amp;A228)-SUMIFS($I$5:$I$500,$B$5:$B$500,B228,$A$5:$A$500,"&lt;="&amp;A228))</x:f>
        <x:v>0</x:v>
      </x:c>
      <x:c r="K228" s="30" t="str">
        <x:f>IF(B228="","",IF(J228&lt;=0,"ESGOTADO",IF(J228&lt;=Config!$H$2,"SALDO CRÍTICO",IF(J228&lt;=Config!$H$3,"SALDO BAIXO","OK"))))</x:f>
        <x:v>ESGOTADO</x:v>
      </x:c>
      <x:c r="L228" s="34" t="str"/>
      <x:c r="M228" s="30" t="str">
        <x:v>PERCENTIL</x:v>
      </x:c>
    </x:row>
    <x:row r="229">
      <x:c r="A229" s="30" t="n">
        <x:v>225</x:v>
      </x:c>
      <x:c r="B229" s="30" t="str">
        <x:v>PERCENTIL</x:v>
      </x:c>
      <x:c r="C229" s="32" t="n">
        <x:v>44973</x:v>
      </x:c>
      <x:c r="D229" s="30" t="str">
        <x:v>Compra</x:v>
      </x:c>
      <x:c r="E229" s="30" t="str"/>
      <x:c r="F229" s="30" t="str"/>
      <x:c r="G229" s="30" t="str">
        <x:v>Aquisição/Saldo inicial pack (arquivo)</x:v>
      </x:c>
      <x:c r="H229" s="34" t="n">
        <x:v>10</x:v>
      </x:c>
      <x:c r="I229" s="34" t="str"/>
      <x:c r="J229" s="34" t="n">
        <x:f>IF(B229="","",SUMIFS($H$5:$H$500,$B$5:$B$500,B229,$A$5:$A$500,"&lt;="&amp;A229)-SUMIFS($I$5:$I$500,$B$5:$B$500,B229,$A$5:$A$500,"&lt;="&amp;A229))</x:f>
        <x:v>10</x:v>
      </x:c>
      <x:c r="K229" s="30" t="str">
        <x:f>IF(B229="","",IF(J229&lt;=0,"ESGOTADO",IF(J229&lt;=Config!$H$2,"SALDO CRÍTICO",IF(J229&lt;=Config!$H$3,"SALDO BAIXO","OK"))))</x:f>
        <x:v>OK</x:v>
      </x:c>
      <x:c r="L229" s="34" t="str"/>
      <x:c r="M229" s="30" t="str">
        <x:v>PERCENTIL</x:v>
      </x:c>
    </x:row>
    <x:row r="230">
      <x:c r="A230" s="30" t="n">
        <x:v>226</x:v>
      </x:c>
      <x:c r="B230" s="30" t="str">
        <x:v>PERCENTIL</x:v>
      </x:c>
      <x:c r="C230" s="32" t="n">
        <x:v>44973</x:v>
      </x:c>
      <x:c r="D230" s="30" t="str">
        <x:v>Intervenção</x:v>
      </x:c>
      <x:c r="E230" s="30" t="str"/>
      <x:c r="F230" s="30" t="str"/>
      <x:c r="G230" s="30" t="str">
        <x:v>Intervenção (arquivo)</x:v>
      </x:c>
      <x:c r="H230" s="34" t="str"/>
      <x:c r="I230" s="34" t="n">
        <x:v>4.5</x:v>
      </x:c>
      <x:c r="J230" s="34" t="n">
        <x:f>IF(B230="","",SUMIFS($H$5:$H$500,$B$5:$B$500,B230,$A$5:$A$500,"&lt;="&amp;A230)-SUMIFS($I$5:$I$500,$B$5:$B$500,B230,$A$5:$A$500,"&lt;="&amp;A230))</x:f>
        <x:v>5.5</x:v>
      </x:c>
      <x:c r="K230" s="30" t="str">
        <x:f>IF(B230="","",IF(J230&lt;=0,"ESGOTADO",IF(J230&lt;=Config!$H$2,"SALDO CRÍTICO",IF(J230&lt;=Config!$H$3,"SALDO BAIXO","OK"))))</x:f>
        <x:v>OK</x:v>
      </x:c>
      <x:c r="L230" s="34" t="str"/>
      <x:c r="M230" s="30" t="str">
        <x:v>PERCENTIL</x:v>
      </x:c>
    </x:row>
    <x:row r="231">
      <x:c r="A231" s="30" t="n">
        <x:v>227</x:v>
      </x:c>
      <x:c r="B231" s="30" t="str">
        <x:v>PERCENTIL</x:v>
      </x:c>
      <x:c r="C231" s="32" t="n">
        <x:v>45142</x:v>
      </x:c>
      <x:c r="D231" s="30" t="str">
        <x:v>Intervenção</x:v>
      </x:c>
      <x:c r="E231" s="30" t="str"/>
      <x:c r="F231" s="30" t="str"/>
      <x:c r="G231" s="30" t="str">
        <x:v>Intervenção (arquivo)</x:v>
      </x:c>
      <x:c r="H231" s="34" t="str"/>
      <x:c r="I231" s="34" t="n">
        <x:v>1.5</x:v>
      </x:c>
      <x:c r="J231" s="34" t="n">
        <x:f>IF(B231="","",SUMIFS($H$5:$H$500,$B$5:$B$500,B231,$A$5:$A$500,"&lt;="&amp;A231)-SUMIFS($I$5:$I$500,$B$5:$B$500,B231,$A$5:$A$500,"&lt;="&amp;A231))</x:f>
        <x:v>4</x:v>
      </x:c>
      <x:c r="K231" s="30" t="str">
        <x:f>IF(B231="","",IF(J231&lt;=0,"ESGOTADO",IF(J231&lt;=Config!$H$2,"SALDO CRÍTICO",IF(J231&lt;=Config!$H$3,"SALDO BAIXO","OK"))))</x:f>
        <x:v>OK</x:v>
      </x:c>
      <x:c r="L231" s="34" t="str"/>
      <x:c r="M231" s="30" t="str">
        <x:v>PERCENTIL</x:v>
      </x:c>
    </x:row>
    <x:row r="232">
      <x:c r="A232" s="30" t="n">
        <x:v>228</x:v>
      </x:c>
      <x:c r="B232" s="30" t="str">
        <x:v>PERCENTIL</x:v>
      </x:c>
      <x:c r="C232" s="32" t="n">
        <x:v>45176</x:v>
      </x:c>
      <x:c r="D232" s="30" t="str">
        <x:v>Intervenção</x:v>
      </x:c>
      <x:c r="E232" s="30" t="str"/>
      <x:c r="F232" s="30" t="str"/>
      <x:c r="G232" s="30" t="str">
        <x:v>Intervenção (arquivo)</x:v>
      </x:c>
      <x:c r="H232" s="34" t="str"/>
      <x:c r="I232" s="34" t="n">
        <x:v>0.5</x:v>
      </x:c>
      <x:c r="J232" s="34" t="n">
        <x:f>IF(B232="","",SUMIFS($H$5:$H$500,$B$5:$B$500,B232,$A$5:$A$500,"&lt;="&amp;A232)-SUMIFS($I$5:$I$500,$B$5:$B$500,B232,$A$5:$A$500,"&lt;="&amp;A232))</x:f>
        <x:v>3.5</x:v>
      </x:c>
      <x:c r="K232" s="30" t="str">
        <x:f>IF(B232="","",IF(J232&lt;=0,"ESGOTADO",IF(J232&lt;=Config!$H$2,"SALDO CRÍTICO",IF(J232&lt;=Config!$H$3,"SALDO BAIXO","OK"))))</x:f>
        <x:v>OK</x:v>
      </x:c>
      <x:c r="L232" s="34" t="str"/>
      <x:c r="M232" s="30" t="str">
        <x:v>PERCENTIL</x:v>
      </x:c>
    </x:row>
    <x:row r="233">
      <x:c r="A233" s="30" t="n">
        <x:v>229</x:v>
      </x:c>
      <x:c r="B233" s="30" t="str">
        <x:v>PERCENTIL</x:v>
      </x:c>
      <x:c r="C233" s="32" t="n">
        <x:v>45240</x:v>
      </x:c>
      <x:c r="D233" s="30" t="str">
        <x:v>Intervenção</x:v>
      </x:c>
      <x:c r="E233" s="30" t="str"/>
      <x:c r="F233" s="30" t="str"/>
      <x:c r="G233" s="30" t="str">
        <x:v>Intervenção (arquivo)</x:v>
      </x:c>
      <x:c r="H233" s="34" t="str"/>
      <x:c r="I233" s="34" t="n">
        <x:v>1</x:v>
      </x:c>
      <x:c r="J233" s="34" t="n">
        <x:f>IF(B233="","",SUMIFS($H$5:$H$500,$B$5:$B$500,B233,$A$5:$A$500,"&lt;="&amp;A233)-SUMIFS($I$5:$I$500,$B$5:$B$500,B233,$A$5:$A$500,"&lt;="&amp;A233))</x:f>
        <x:v>2.5</x:v>
      </x:c>
      <x:c r="K233" s="30" t="str">
        <x:f>IF(B233="","",IF(J233&lt;=0,"ESGOTADO",IF(J233&lt;=Config!$H$2,"SALDO CRÍTICO",IF(J233&lt;=Config!$H$3,"SALDO BAIXO","OK"))))</x:f>
        <x:v>OK</x:v>
      </x:c>
      <x:c r="L233" s="34" t="str"/>
      <x:c r="M233" s="30" t="str">
        <x:v>PERCENTIL</x:v>
      </x:c>
    </x:row>
    <x:row r="234">
      <x:c r="A234" s="30" t="n">
        <x:v>230</x:v>
      </x:c>
      <x:c r="B234" s="30" t="str">
        <x:v>PERCENTIL</x:v>
      </x:c>
      <x:c r="C234" s="32" t="n">
        <x:v>45246</x:v>
      </x:c>
      <x:c r="D234" s="30" t="str">
        <x:v>Intervenção</x:v>
      </x:c>
      <x:c r="E234" s="30" t="str"/>
      <x:c r="F234" s="30" t="str"/>
      <x:c r="G234" s="30" t="str">
        <x:v>Intervenção (arquivo)</x:v>
      </x:c>
      <x:c r="H234" s="34" t="str"/>
      <x:c r="I234" s="34" t="n">
        <x:v>1</x:v>
      </x:c>
      <x:c r="J234" s="34" t="n">
        <x:f>IF(B234="","",SUMIFS($H$5:$H$500,$B$5:$B$500,B234,$A$5:$A$500,"&lt;="&amp;A234)-SUMIFS($I$5:$I$500,$B$5:$B$500,B234,$A$5:$A$500,"&lt;="&amp;A234))</x:f>
        <x:v>1.5</x:v>
      </x:c>
      <x:c r="K234" s="30" t="str">
        <x:f>IF(B234="","",IF(J234&lt;=0,"ESGOTADO",IF(J234&lt;=Config!$H$2,"SALDO CRÍTICO",IF(J234&lt;=Config!$H$3,"SALDO BAIXO","OK"))))</x:f>
        <x:v>SALDO BAIXO</x:v>
      </x:c>
      <x:c r="L234" s="34" t="str"/>
      <x:c r="M234" s="30" t="str">
        <x:v>PERCENTIL</x:v>
      </x:c>
    </x:row>
    <x:row r="235">
      <x:c r="A235" s="30" t="n">
        <x:v>231</x:v>
      </x:c>
      <x:c r="B235" s="30" t="str">
        <x:v>PERCENTIL</x:v>
      </x:c>
      <x:c r="C235" s="32" t="n">
        <x:v>45327</x:v>
      </x:c>
      <x:c r="D235" s="30" t="str">
        <x:v>Intervenção</x:v>
      </x:c>
      <x:c r="E235" s="30" t="str"/>
      <x:c r="F235" s="30" t="str"/>
      <x:c r="G235" s="30" t="str">
        <x:v>Computador Dulce Lourenco Clone para novo disco</x:v>
      </x:c>
      <x:c r="H235" s="34" t="str"/>
      <x:c r="I235" s="34" t="n">
        <x:v>1.5</x:v>
      </x:c>
      <x:c r="J235" s="34" t="n">
        <x:f>IF(B235="","",SUMIFS($H$5:$H$500,$B$5:$B$500,B235,$A$5:$A$500,"&lt;="&amp;A235)-SUMIFS($I$5:$I$500,$B$5:$B$500,B235,$A$5:$A$500,"&lt;="&amp;A235))</x:f>
        <x:v>0</x:v>
      </x:c>
      <x:c r="K235" s="30" t="str">
        <x:f>IF(B235="","",IF(J235&lt;=0,"ESGOTADO",IF(J235&lt;=Config!$H$2,"SALDO CRÍTICO",IF(J235&lt;=Config!$H$3,"SALDO BAIXO","OK"))))</x:f>
        <x:v>ESGOTADO</x:v>
      </x:c>
      <x:c r="L235" s="34" t="str"/>
      <x:c r="M235" s="30" t="str">
        <x:v>PERCENTIL</x:v>
      </x:c>
    </x:row>
    <x:row r="236">
      <x:c r="A236" s="30" t="n">
        <x:v>232</x:v>
      </x:c>
      <x:c r="B236" s="30" t="str">
        <x:v>PERCENTIL</x:v>
      </x:c>
      <x:c r="C236" s="32" t="n">
        <x:v>45328</x:v>
      </x:c>
      <x:c r="D236" s="30" t="str">
        <x:v>Compra</x:v>
      </x:c>
      <x:c r="E236" s="30" t="str"/>
      <x:c r="F236" s="30" t="str"/>
      <x:c r="G236" s="30" t="str">
        <x:v>Aquisição/Saldo inicial pack (arquivo)</x:v>
      </x:c>
      <x:c r="H236" s="34" t="n">
        <x:v>10</x:v>
      </x:c>
      <x:c r="I236" s="34" t="str"/>
      <x:c r="J236" s="34" t="n">
        <x:f>IF(B236="","",SUMIFS($H$5:$H$500,$B$5:$B$500,B236,$A$5:$A$500,"&lt;="&amp;A236)-SUMIFS($I$5:$I$500,$B$5:$B$500,B236,$A$5:$A$500,"&lt;="&amp;A236))</x:f>
        <x:v>10</x:v>
      </x:c>
      <x:c r="K236" s="30" t="str">
        <x:f>IF(B236="","",IF(J236&lt;=0,"ESGOTADO",IF(J236&lt;=Config!$H$2,"SALDO CRÍTICO",IF(J236&lt;=Config!$H$3,"SALDO BAIXO","OK"))))</x:f>
        <x:v>OK</x:v>
      </x:c>
      <x:c r="L236" s="34" t="str"/>
      <x:c r="M236" s="30" t="str">
        <x:v>PERCENTIL</x:v>
      </x:c>
    </x:row>
    <x:row r="237">
      <x:c r="A237" s="30" t="n">
        <x:v>233</x:v>
      </x:c>
      <x:c r="B237" s="30" t="str">
        <x:v>PERCENTIL</x:v>
      </x:c>
      <x:c r="C237" s="32" t="n">
        <x:v>45376</x:v>
      </x:c>
      <x:c r="D237" s="30" t="str">
        <x:v>Intervenção</x:v>
      </x:c>
      <x:c r="E237" s="30" t="str"/>
      <x:c r="F237" s="30" t="str"/>
      <x:c r="G237" s="30" t="str">
        <x:v>Computador Ana Mestre clone para novo PC</x:v>
      </x:c>
      <x:c r="H237" s="34" t="str"/>
      <x:c r="I237" s="34" t="n">
        <x:v>1.5</x:v>
      </x:c>
      <x:c r="J237" s="34" t="n">
        <x:f>IF(B237="","",SUMIFS($H$5:$H$500,$B$5:$B$500,B237,$A$5:$A$500,"&lt;="&amp;A237)-SUMIFS($I$5:$I$500,$B$5:$B$500,B237,$A$5:$A$500,"&lt;="&amp;A237))</x:f>
        <x:v>8.5</x:v>
      </x:c>
      <x:c r="K237" s="30" t="str">
        <x:f>IF(B237="","",IF(J237&lt;=0,"ESGOTADO",IF(J237&lt;=Config!$H$2,"SALDO CRÍTICO",IF(J237&lt;=Config!$H$3,"SALDO BAIXO","OK"))))</x:f>
        <x:v>OK</x:v>
      </x:c>
      <x:c r="L237" s="34" t="str"/>
      <x:c r="M237" s="30" t="str">
        <x:v>PERCENTIL</x:v>
      </x:c>
    </x:row>
    <x:row r="238">
      <x:c r="A238" s="30" t="n">
        <x:v>234</x:v>
      </x:c>
      <x:c r="B238" s="30" t="str">
        <x:v>PERCENTIL</x:v>
      </x:c>
      <x:c r="C238" s="32" t="n">
        <x:v>45483</x:v>
      </x:c>
      <x:c r="D238" s="30" t="str">
        <x:v>Intervenção</x:v>
      </x:c>
      <x:c r="E238" s="30" t="str"/>
      <x:c r="F238" s="30" t="str"/>
      <x:c r="G238" s="30" t="str">
        <x:v>Ana Mestre Problema com usb no portatil (adaptador USB para Serial)</x:v>
      </x:c>
      <x:c r="H238" s="34" t="str"/>
      <x:c r="I238" s="34" t="n">
        <x:v>2</x:v>
      </x:c>
      <x:c r="J238" s="34" t="n">
        <x:f>IF(B238="","",SUMIFS($H$5:$H$500,$B$5:$B$500,B238,$A$5:$A$500,"&lt;="&amp;A238)-SUMIFS($I$5:$I$500,$B$5:$B$500,B238,$A$5:$A$500,"&lt;="&amp;A238))</x:f>
        <x:v>6.5</x:v>
      </x:c>
      <x:c r="K238" s="30" t="str">
        <x:f>IF(B238="","",IF(J238&lt;=0,"ESGOTADO",IF(J238&lt;=Config!$H$2,"SALDO CRÍTICO",IF(J238&lt;=Config!$H$3,"SALDO BAIXO","OK"))))</x:f>
        <x:v>OK</x:v>
      </x:c>
      <x:c r="L238" s="34" t="str"/>
      <x:c r="M238" s="30" t="str">
        <x:v>PERCENTIL</x:v>
      </x:c>
    </x:row>
    <x:row r="239">
      <x:c r="A239" s="30" t="n">
        <x:v>235</x:v>
      </x:c>
      <x:c r="B239" s="30" t="str">
        <x:v>PERCENTIL</x:v>
      </x:c>
      <x:c r="C239" s="32" t="n">
        <x:v>45484</x:v>
      </x:c>
      <x:c r="D239" s="30" t="str">
        <x:v>Intervenção</x:v>
      </x:c>
      <x:c r="E239" s="30" t="str"/>
      <x:c r="F239" s="30" t="str"/>
      <x:c r="G239" s="30" t="str">
        <x:v>AR Dulce</x:v>
      </x:c>
      <x:c r="H239" s="34" t="str"/>
      <x:c r="I239" s="34" t="n">
        <x:v>0.5</x:v>
      </x:c>
      <x:c r="J239" s="34" t="n">
        <x:f>IF(B239="","",SUMIFS($H$5:$H$500,$B$5:$B$500,B239,$A$5:$A$500,"&lt;="&amp;A239)-SUMIFS($I$5:$I$500,$B$5:$B$500,B239,$A$5:$A$500,"&lt;="&amp;A239))</x:f>
        <x:v>6</x:v>
      </x:c>
      <x:c r="K239" s="30" t="str">
        <x:f>IF(B239="","",IF(J239&lt;=0,"ESGOTADO",IF(J239&lt;=Config!$H$2,"SALDO CRÍTICO",IF(J239&lt;=Config!$H$3,"SALDO BAIXO","OK"))))</x:f>
        <x:v>OK</x:v>
      </x:c>
      <x:c r="L239" s="34" t="str"/>
      <x:c r="M239" s="30" t="str">
        <x:v>PERCENTIL</x:v>
      </x:c>
    </x:row>
    <x:row r="240">
      <x:c r="A240" s="30" t="n">
        <x:v>236</x:v>
      </x:c>
      <x:c r="B240" s="30" t="str">
        <x:v>PERCENTIL</x:v>
      </x:c>
      <x:c r="C240" s="32" t="n">
        <x:v>45504</x:v>
      </x:c>
      <x:c r="D240" s="30" t="str">
        <x:v>Intervenção</x:v>
      </x:c>
      <x:c r="E240" s="30" t="str"/>
      <x:c r="F240" s="30" t="str"/>
      <x:c r="G240" s="30" t="str">
        <x:v>Computador Marco Oliveira</x:v>
      </x:c>
      <x:c r="H240" s="34" t="str"/>
      <x:c r="I240" s="34" t="n">
        <x:v>1</x:v>
      </x:c>
      <x:c r="J240" s="34" t="n">
        <x:f>IF(B240="","",SUMIFS($H$5:$H$500,$B$5:$B$500,B240,$A$5:$A$500,"&lt;="&amp;A240)-SUMIFS($I$5:$I$500,$B$5:$B$500,B240,$A$5:$A$500,"&lt;="&amp;A240))</x:f>
        <x:v>5</x:v>
      </x:c>
      <x:c r="K240" s="30" t="str">
        <x:f>IF(B240="","",IF(J240&lt;=0,"ESGOTADO",IF(J240&lt;=Config!$H$2,"SALDO CRÍTICO",IF(J240&lt;=Config!$H$3,"SALDO BAIXO","OK"))))</x:f>
        <x:v>OK</x:v>
      </x:c>
      <x:c r="L240" s="34" t="str"/>
      <x:c r="M240" s="30" t="str">
        <x:v>PERCENTIL</x:v>
      </x:c>
    </x:row>
    <x:row r="241">
      <x:c r="A241" s="30" t="n">
        <x:v>237</x:v>
      </x:c>
      <x:c r="B241" s="30" t="str">
        <x:v>PERCENTIL</x:v>
      </x:c>
      <x:c r="C241" s="32" t="n">
        <x:v>45608</x:v>
      </x:c>
      <x:c r="D241" s="30" t="str">
        <x:v>Intervenção</x:v>
      </x:c>
      <x:c r="E241" s="30" t="str"/>
      <x:c r="F241" s="30" t="str"/>
      <x:c r="G241" s="30" t="str">
        <x:v>Ajuda a Ana Mestre e a Catarina Raimundo</x:v>
      </x:c>
      <x:c r="H241" s="34" t="str"/>
      <x:c r="I241" s="34" t="n">
        <x:v>1</x:v>
      </x:c>
      <x:c r="J241" s="34" t="n">
        <x:f>IF(B241="","",SUMIFS($H$5:$H$500,$B$5:$B$500,B241,$A$5:$A$500,"&lt;="&amp;A241)-SUMIFS($I$5:$I$500,$B$5:$B$500,B241,$A$5:$A$500,"&lt;="&amp;A241))</x:f>
        <x:v>4</x:v>
      </x:c>
      <x:c r="K241" s="30" t="str">
        <x:f>IF(B241="","",IF(J241&lt;=0,"ESGOTADO",IF(J241&lt;=Config!$H$2,"SALDO CRÍTICO",IF(J241&lt;=Config!$H$3,"SALDO BAIXO","OK"))))</x:f>
        <x:v>OK</x:v>
      </x:c>
      <x:c r="L241" s="34" t="str"/>
      <x:c r="M241" s="30" t="str">
        <x:v>PERCENTIL</x:v>
      </x:c>
    </x:row>
    <x:row r="242">
      <x:c r="A242" s="30" t="n">
        <x:v>238</x:v>
      </x:c>
      <x:c r="B242" s="30" t="str">
        <x:v>PERCENTIL</x:v>
      </x:c>
      <x:c r="C242" s="32" t="n">
        <x:v>45618</x:v>
      </x:c>
      <x:c r="D242" s="30" t="str">
        <x:v>Intervenção</x:v>
      </x:c>
      <x:c r="E242" s="30" t="str"/>
      <x:c r="F242" s="30" t="str"/>
      <x:c r="G242" s="30" t="str">
        <x:v>Configuração computador Rui Guelho</x:v>
      </x:c>
      <x:c r="H242" s="34" t="str"/>
      <x:c r="I242" s="34" t="n">
        <x:v>1</x:v>
      </x:c>
      <x:c r="J242" s="34" t="n">
        <x:f>IF(B242="","",SUMIFS($H$5:$H$500,$B$5:$B$500,B242,$A$5:$A$500,"&lt;="&amp;A242)-SUMIFS($I$5:$I$500,$B$5:$B$500,B242,$A$5:$A$500,"&lt;="&amp;A242))</x:f>
        <x:v>3</x:v>
      </x:c>
      <x:c r="K242" s="30" t="str">
        <x:f>IF(B242="","",IF(J242&lt;=0,"ESGOTADO",IF(J242&lt;=Config!$H$2,"SALDO CRÍTICO",IF(J242&lt;=Config!$H$3,"SALDO BAIXO","OK"))))</x:f>
        <x:v>OK</x:v>
      </x:c>
      <x:c r="L242" s="34" t="str"/>
      <x:c r="M242" s="30" t="str">
        <x:v>PERCENTIL</x:v>
      </x:c>
    </x:row>
    <x:row r="243">
      <x:c r="A243" s="30" t="n">
        <x:v>239</x:v>
      </x:c>
      <x:c r="B243" s="30" t="str">
        <x:v>PERCENTIL</x:v>
      </x:c>
      <x:c r="C243" s="32" t="n">
        <x:v>45623</x:v>
      </x:c>
      <x:c r="D243" s="30" t="str">
        <x:v>Intervenção</x:v>
      </x:c>
      <x:c r="E243" s="30" t="str"/>
      <x:c r="F243" s="30" t="str"/>
      <x:c r="G243" s="30" t="str">
        <x:v>A.R. Email Mário</x:v>
      </x:c>
      <x:c r="H243" s="34" t="str"/>
      <x:c r="I243" s="34" t="n">
        <x:v>0.2</x:v>
      </x:c>
      <x:c r="J243" s="34" t="n">
        <x:f>IF(B243="","",SUMIFS($H$5:$H$500,$B$5:$B$500,B243,$A$5:$A$500,"&lt;="&amp;A243)-SUMIFS($I$5:$I$500,$B$5:$B$500,B243,$A$5:$A$500,"&lt;="&amp;A243))</x:f>
        <x:v>2.8000000000000007</x:v>
      </x:c>
      <x:c r="K243" s="30" t="str">
        <x:f>IF(B243="","",IF(J243&lt;=0,"ESGOTADO",IF(J243&lt;=Config!$H$2,"SALDO CRÍTICO",IF(J243&lt;=Config!$H$3,"SALDO BAIXO","OK"))))</x:f>
        <x:v>OK</x:v>
      </x:c>
      <x:c r="L243" s="34" t="str"/>
      <x:c r="M243" s="30" t="str">
        <x:v>PERCENTIL</x:v>
      </x:c>
    </x:row>
    <x:row r="244">
      <x:c r="A244" s="30" t="n">
        <x:v>240</x:v>
      </x:c>
      <x:c r="B244" s="30" t="str">
        <x:v>PERCENTIL</x:v>
      </x:c>
      <x:c r="C244" s="32" t="n">
        <x:v>45699</x:v>
      </x:c>
      <x:c r="D244" s="30" t="str">
        <x:v>Intervenção</x:v>
      </x:c>
      <x:c r="E244" s="30" t="str"/>
      <x:c r="F244" s="30" t="str"/>
      <x:c r="G244" s="30" t="str">
        <x:v>A.R. Ana Mestre questão com aparelhos</x:v>
      </x:c>
      <x:c r="H244" s="34" t="str"/>
      <x:c r="I244" s="34" t="n">
        <x:v>0.5</x:v>
      </x:c>
      <x:c r="J244" s="34" t="n">
        <x:f>IF(B244="","",SUMIFS($H$5:$H$500,$B$5:$B$500,B244,$A$5:$A$500,"&lt;="&amp;A244)-SUMIFS($I$5:$I$500,$B$5:$B$500,B244,$A$5:$A$500,"&lt;="&amp;A244))</x:f>
        <x:v>2.3000000000000007</x:v>
      </x:c>
      <x:c r="K244" s="30" t="str">
        <x:f>IF(B244="","",IF(J244&lt;=0,"ESGOTADO",IF(J244&lt;=Config!$H$2,"SALDO CRÍTICO",IF(J244&lt;=Config!$H$3,"SALDO BAIXO","OK"))))</x:f>
        <x:v>OK</x:v>
      </x:c>
      <x:c r="L244" s="34" t="str"/>
      <x:c r="M244" s="30" t="str">
        <x:v>PERCENTIL</x:v>
      </x:c>
    </x:row>
    <x:row r="245">
      <x:c r="A245" s="30" t="n">
        <x:v>241</x:v>
      </x:c>
      <x:c r="B245" s="30" t="str">
        <x:v>PERCENTIL</x:v>
      </x:c>
      <x:c r="C245" s="32" t="n">
        <x:v>45699</x:v>
      </x:c>
      <x:c r="D245" s="30" t="str">
        <x:v>Intervenção</x:v>
      </x:c>
      <x:c r="E245" s="30" t="str"/>
      <x:c r="F245" s="30" t="str"/>
      <x:c r="G245" s="30" t="str">
        <x:v>A.R. Jocelina Relvas questão com Teams</x:v>
      </x:c>
      <x:c r="H245" s="34" t="str"/>
      <x:c r="I245" s="34" t="n">
        <x:v>0.5</x:v>
      </x:c>
      <x:c r="J245" s="34" t="n">
        <x:f>IF(B245="","",SUMIFS($H$5:$H$500,$B$5:$B$500,B245,$A$5:$A$500,"&lt;="&amp;A245)-SUMIFS($I$5:$I$500,$B$5:$B$500,B245,$A$5:$A$500,"&lt;="&amp;A245))</x:f>
        <x:v>1.8000000000000007</x:v>
      </x:c>
      <x:c r="K245" s="30" t="str">
        <x:f>IF(B245="","",IF(J245&lt;=0,"ESGOTADO",IF(J245&lt;=Config!$H$2,"SALDO CRÍTICO",IF(J245&lt;=Config!$H$3,"SALDO BAIXO","OK"))))</x:f>
        <x:v>SALDO BAIXO</x:v>
      </x:c>
      <x:c r="L245" s="34" t="str"/>
      <x:c r="M245" s="30" t="str">
        <x:v>PERCENTIL</x:v>
      </x:c>
    </x:row>
    <x:row r="246">
      <x:c r="A246" s="30" t="n">
        <x:v>242</x:v>
      </x:c>
      <x:c r="B246" s="30" t="str">
        <x:v>PERCENTIL</x:v>
      </x:c>
      <x:c r="C246" s="32" t="n">
        <x:v>45729</x:v>
      </x:c>
      <x:c r="D246" s="30" t="str">
        <x:v>Intervenção</x:v>
      </x:c>
      <x:c r="E246" s="30" t="str"/>
      <x:c r="F246" s="30" t="str"/>
      <x:c r="G246" s="30" t="str">
        <x:v>A.R. Dulce Lourenço questão com emails e TEAMS</x:v>
      </x:c>
      <x:c r="H246" s="34" t="str"/>
      <x:c r="I246" s="34" t="n">
        <x:v>0.5</x:v>
      </x:c>
      <x:c r="J246" s="34" t="n">
        <x:f>IF(B246="","",SUMIFS($H$5:$H$500,$B$5:$B$500,B246,$A$5:$A$500,"&lt;="&amp;A246)-SUMIFS($I$5:$I$500,$B$5:$B$500,B246,$A$5:$A$500,"&lt;="&amp;A246))</x:f>
        <x:v>1.3000000000000007</x:v>
      </x:c>
      <x:c r="K246" s="30" t="str">
        <x:f>IF(B246="","",IF(J246&lt;=0,"ESGOTADO",IF(J246&lt;=Config!$H$2,"SALDO CRÍTICO",IF(J246&lt;=Config!$H$3,"SALDO BAIXO","OK"))))</x:f>
        <x:v>SALDO BAIXO</x:v>
      </x:c>
      <x:c r="L246" s="34" t="str"/>
      <x:c r="M246" s="30" t="str">
        <x:v>PERCENTIL</x:v>
      </x:c>
    </x:row>
    <x:row r="247">
      <x:c r="A247" s="30" t="n">
        <x:v>243</x:v>
      </x:c>
      <x:c r="B247" s="30" t="str">
        <x:v>PERCENTIL</x:v>
      </x:c>
      <x:c r="C247" s="32" t="n">
        <x:v>45812</x:v>
      </x:c>
      <x:c r="D247" s="30" t="str">
        <x:v>Intervenção</x:v>
      </x:c>
      <x:c r="E247" s="30" t="str"/>
      <x:c r="F247" s="30" t="str"/>
      <x:c r="G247" s="30" t="str">
        <x:v>AR Dulce transformar email IMAP em POP</x:v>
      </x:c>
      <x:c r="H247" s="34" t="str"/>
      <x:c r="I247" s="34" t="n">
        <x:v>0.5</x:v>
      </x:c>
      <x:c r="J247" s="34" t="n">
        <x:f>IF(B247="","",SUMIFS($H$5:$H$500,$B$5:$B$500,B247,$A$5:$A$500,"&lt;="&amp;A247)-SUMIFS($I$5:$I$500,$B$5:$B$500,B247,$A$5:$A$500,"&lt;="&amp;A247))</x:f>
        <x:v>0.8000000000000007</x:v>
      </x:c>
      <x:c r="K247" s="30" t="str">
        <x:f>IF(B247="","",IF(J247&lt;=0,"ESGOTADO",IF(J247&lt;=Config!$H$2,"SALDO CRÍTICO",IF(J247&lt;=Config!$H$3,"SALDO BAIXO","OK"))))</x:f>
        <x:v>SALDO CRÍTICO</x:v>
      </x:c>
      <x:c r="L247" s="34" t="str"/>
      <x:c r="M247" s="30" t="str">
        <x:v>PERCENTIL</x:v>
      </x:c>
    </x:row>
    <x:row r="248">
      <x:c r="A248" s="30" t="n">
        <x:v>244</x:v>
      </x:c>
      <x:c r="B248" s="30" t="str">
        <x:v>PERCENTIL</x:v>
      </x:c>
      <x:c r="C248" s="32" t="n">
        <x:v>45915</x:v>
      </x:c>
      <x:c r="D248" s="30" t="str">
        <x:v>Intervenção</x:v>
      </x:c>
      <x:c r="E248" s="30" t="str"/>
      <x:c r="F248" s="30" t="str"/>
      <x:c r="G248" s="30" t="str">
        <x:v>Jocelina Relvas LOJA questao com email TLM e TEAMS</x:v>
      </x:c>
      <x:c r="H248" s="34" t="str"/>
      <x:c r="I248" s="34" t="n">
        <x:v>0.5</x:v>
      </x:c>
      <x:c r="J248" s="34" t="n">
        <x:f>IF(B248="","",SUMIFS($H$5:$H$500,$B$5:$B$500,B248,$A$5:$A$500,"&lt;="&amp;A248)-SUMIFS($I$5:$I$500,$B$5:$B$500,B248,$A$5:$A$500,"&lt;="&amp;A248))</x:f>
        <x:v>0.3000000000000007</x:v>
      </x:c>
      <x:c r="K248" s="30" t="str">
        <x:f>IF(B248="","",IF(J248&lt;=0,"ESGOTADO",IF(J248&lt;=Config!$H$2,"SALDO CRÍTICO",IF(J248&lt;=Config!$H$3,"SALDO BAIXO","OK"))))</x:f>
        <x:v>SALDO CRÍTICO</x:v>
      </x:c>
      <x:c r="L248" s="34" t="str"/>
      <x:c r="M248" s="30" t="str">
        <x:v>PERCENTIL</x:v>
      </x:c>
    </x:row>
    <x:row r="249">
      <x:c r="A249" s="30" t="n">
        <x:v>245</x:v>
      </x:c>
      <x:c r="B249" s="30" t="str">
        <x:v>PERCENTIL</x:v>
      </x:c>
      <x:c r="C249" s="32" t="n">
        <x:v>45944</x:v>
      </x:c>
      <x:c r="D249" s="30" t="str">
        <x:v>Intervenção</x:v>
      </x:c>
      <x:c r="E249" s="30" t="str"/>
      <x:c r="F249" s="30" t="str"/>
      <x:c r="G249" s="30" t="str">
        <x:v>Formatacao de Computador HP que Inês Fernandes trouxe a Miraflores.</x:v>
      </x:c>
      <x:c r="H249" s="34" t="str"/>
      <x:c r="I249" s="34" t="n">
        <x:v>0.3</x:v>
      </x:c>
      <x:c r="J249" s="34" t="n">
        <x:f>IF(B249="","",SUMIFS($H$5:$H$500,$B$5:$B$500,B249,$A$5:$A$500,"&lt;="&amp;A249)-SUMIFS($I$5:$I$500,$B$5:$B$500,B249,$A$5:$A$500,"&lt;="&amp;A249))</x:f>
        <x:v>0</x:v>
      </x:c>
      <x:c r="K249" s="30" t="str">
        <x:f>IF(B249="","",IF(J249&lt;=0,"ESGOTADO",IF(J249&lt;=Config!$H$2,"SALDO CRÍTICO",IF(J249&lt;=Config!$H$3,"SALDO BAIXO","OK"))))</x:f>
        <x:v>ESGOTADO</x:v>
      </x:c>
      <x:c r="L249" s="34" t="str"/>
      <x:c r="M249" s="30" t="str">
        <x:v>PERCENTIL</x:v>
      </x:c>
    </x:row>
    <x:row r="250">
      <x:c r="A250" s="30" t="n">
        <x:v>246</x:v>
      </x:c>
      <x:c r="B250" s="30" t="str">
        <x:v>PERCENTIL</x:v>
      </x:c>
      <x:c r="C250" s="32" t="n">
        <x:v>45961</x:v>
      </x:c>
      <x:c r="D250" s="30" t="str">
        <x:v>Compra</x:v>
      </x:c>
      <x:c r="E250" s="30" t="str"/>
      <x:c r="F250" s="30" t="str"/>
      <x:c r="G250" s="30" t="str">
        <x:v>Aquisição/Saldo inicial pack (arquivo)</x:v>
      </x:c>
      <x:c r="H250" s="34" t="n">
        <x:v>10</x:v>
      </x:c>
      <x:c r="I250" s="34" t="str"/>
      <x:c r="J250" s="34" t="n">
        <x:f>IF(B250="","",SUMIFS($H$5:$H$500,$B$5:$B$500,B250,$A$5:$A$500,"&lt;="&amp;A250)-SUMIFS($I$5:$I$500,$B$5:$B$500,B250,$A$5:$A$500,"&lt;="&amp;A250))</x:f>
        <x:v>10</x:v>
      </x:c>
      <x:c r="K250" s="30" t="str">
        <x:f>IF(B250="","",IF(J250&lt;=0,"ESGOTADO",IF(J250&lt;=Config!$H$2,"SALDO CRÍTICO",IF(J250&lt;=Config!$H$3,"SALDO BAIXO","OK"))))</x:f>
        <x:v>OK</x:v>
      </x:c>
      <x:c r="L250" s="34" t="str"/>
      <x:c r="M250" s="30" t="str">
        <x:v>PERCENTIL</x:v>
      </x:c>
    </x:row>
    <x:row r="251">
      <x:c r="A251" s="30" t="n">
        <x:v>247</x:v>
      </x:c>
      <x:c r="B251" s="30" t="str">
        <x:v>PERCENTIL</x:v>
      </x:c>
      <x:c r="C251" s="32"/>
      <x:c r="D251" s="30" t="str">
        <x:v>Intervenção</x:v>
      </x:c>
      <x:c r="E251" s="30" t="str"/>
      <x:c r="F251" s="30" t="str"/>
      <x:c r="G251" s="30" t="str">
        <x:v>Ajuda a Filipa com virus AVIRA</x:v>
      </x:c>
      <x:c r="H251" s="34" t="str"/>
      <x:c r="I251" s="34" t="n">
        <x:v>0.5</x:v>
      </x:c>
      <x:c r="J251" s="34" t="n">
        <x:f>IF(B251="","",SUMIFS($H$5:$H$500,$B$5:$B$500,B251,$A$5:$A$500,"&lt;="&amp;A251)-SUMIFS($I$5:$I$500,$B$5:$B$500,B251,$A$5:$A$500,"&lt;="&amp;A251))</x:f>
        <x:v>9.5</x:v>
      </x:c>
      <x:c r="K251" s="30" t="str">
        <x:f>IF(B251="","",IF(J251&lt;=0,"ESGOTADO",IF(J251&lt;=Config!$H$2,"SALDO CRÍTICO",IF(J251&lt;=Config!$H$3,"SALDO BAIXO","OK"))))</x:f>
        <x:v>OK</x:v>
      </x:c>
      <x:c r="L251" s="34" t="str"/>
      <x:c r="M251" s="30" t="str">
        <x:v>PERCENTIL</x:v>
      </x:c>
    </x:row>
    <x:row r="252">
      <x:c r="A252" s="30" t="n">
        <x:v>248</x:v>
      </x:c>
      <x:c r="B252" s="30" t="str">
        <x:v>PERCENTIL</x:v>
      </x:c>
      <x:c r="C252" s="32"/>
      <x:c r="D252" s="30" t="str">
        <x:v>Intervenção</x:v>
      </x:c>
      <x:c r="E252" s="30" t="str"/>
      <x:c r="F252" s="30" t="str"/>
      <x:c r="G252" s="30" t="str">
        <x:v>Configuração computador Teresa Mendes</x:v>
      </x:c>
      <x:c r="H252" s="34" t="str"/>
      <x:c r="I252" s="34" t="n">
        <x:v>1</x:v>
      </x:c>
      <x:c r="J252" s="34" t="n">
        <x:f>IF(B252="","",SUMIFS($H$5:$H$500,$B$5:$B$500,B252,$A$5:$A$500,"&lt;="&amp;A252)-SUMIFS($I$5:$I$500,$B$5:$B$500,B252,$A$5:$A$500,"&lt;="&amp;A252))</x:f>
        <x:v>8.5</x:v>
      </x:c>
      <x:c r="K252" s="30" t="str">
        <x:f>IF(B252="","",IF(J252&lt;=0,"ESGOTADO",IF(J252&lt;=Config!$H$2,"SALDO CRÍTICO",IF(J252&lt;=Config!$H$3,"SALDO BAIXO","OK"))))</x:f>
        <x:v>OK</x:v>
      </x:c>
      <x:c r="L252" s="34" t="str"/>
      <x:c r="M252" s="30" t="str">
        <x:v>PERCENTIL</x:v>
      </x:c>
    </x:row>
    <x:row r="253">
      <x:c r="A253" s="30" t="n">
        <x:v>249</x:v>
      </x:c>
      <x:c r="B253" s="30" t="str">
        <x:v>PRIME PORTUGAL</x:v>
      </x:c>
      <x:c r="C253" s="32" t="n">
        <x:v>45419</x:v>
      </x:c>
      <x:c r="D253" s="30" t="str">
        <x:v>Compra</x:v>
      </x:c>
      <x:c r="E253" s="30" t="str"/>
      <x:c r="F253" s="30" t="str"/>
      <x:c r="G253" s="30" t="str">
        <x:v>Aquisição/Saldo inicial pack (arquivo)</x:v>
      </x:c>
      <x:c r="H253" s="34" t="n">
        <x:v>5</x:v>
      </x:c>
      <x:c r="I253" s="34" t="str"/>
      <x:c r="J253" s="34" t="n">
        <x:f>IF(B253="","",SUMIFS($H$5:$H$500,$B$5:$B$500,B253,$A$5:$A$500,"&lt;="&amp;A253)-SUMIFS($I$5:$I$500,$B$5:$B$500,B253,$A$5:$A$500,"&lt;="&amp;A253))</x:f>
        <x:v>5</x:v>
      </x:c>
      <x:c r="K253" s="30" t="str">
        <x:f>IF(B253="","",IF(J253&lt;=0,"ESGOTADO",IF(J253&lt;=Config!$H$2,"SALDO CRÍTICO",IF(J253&lt;=Config!$H$3,"SALDO BAIXO","OK"))))</x:f>
        <x:v>OK</x:v>
      </x:c>
      <x:c r="L253" s="34" t="str"/>
      <x:c r="M253" s="30" t="str">
        <x:v>PRIME PORTUGAL</x:v>
      </x:c>
    </x:row>
    <x:row r="254">
      <x:c r="A254" s="30" t="n">
        <x:v>250</x:v>
      </x:c>
      <x:c r="B254" s="30" t="str">
        <x:v>PRIME PORTUGAL</x:v>
      </x:c>
      <x:c r="C254" s="32" t="n">
        <x:v>45554</x:v>
      </x:c>
      <x:c r="D254" s="30" t="str">
        <x:v>Intervenção</x:v>
      </x:c>
      <x:c r="E254" s="30" t="str"/>
      <x:c r="F254" s="30" t="str"/>
      <x:c r="G254" s="30" t="str">
        <x:v>Configuração de PC Rui Barroso</x:v>
      </x:c>
      <x:c r="H254" s="34" t="str"/>
      <x:c r="I254" s="34" t="n">
        <x:v>1</x:v>
      </x:c>
      <x:c r="J254" s="34" t="n">
        <x:f>IF(B254="","",SUMIFS($H$5:$H$500,$B$5:$B$500,B254,$A$5:$A$500,"&lt;="&amp;A254)-SUMIFS($I$5:$I$500,$B$5:$B$500,B254,$A$5:$A$500,"&lt;="&amp;A254))</x:f>
        <x:v>4</x:v>
      </x:c>
      <x:c r="K254" s="30" t="str">
        <x:f>IF(B254="","",IF(J254&lt;=0,"ESGOTADO",IF(J254&lt;=Config!$H$2,"SALDO CRÍTICO",IF(J254&lt;=Config!$H$3,"SALDO BAIXO","OK"))))</x:f>
        <x:v>OK</x:v>
      </x:c>
      <x:c r="L254" s="34" t="str"/>
      <x:c r="M254" s="30" t="str">
        <x:v>PRIME PORTUGAL</x:v>
      </x:c>
    </x:row>
    <x:row r="255">
      <x:c r="A255" s="30" t="n">
        <x:v>251</x:v>
      </x:c>
      <x:c r="B255" s="30" t="str">
        <x:v>PRIME PORTUGAL</x:v>
      </x:c>
      <x:c r="C255" s="32" t="n">
        <x:v>45573</x:v>
      </x:c>
      <x:c r="D255" s="30" t="str">
        <x:v>Intervenção</x:v>
      </x:c>
      <x:c r="E255" s="30" t="str"/>
      <x:c r="F255" s="30" t="str"/>
      <x:c r="G255" s="30" t="str">
        <x:v>AR Constanza Pastas onedrive</x:v>
      </x:c>
      <x:c r="H255" s="34" t="str"/>
      <x:c r="I255" s="34" t="n">
        <x:v>0.5</x:v>
      </x:c>
      <x:c r="J255" s="34" t="n">
        <x:f>IF(B255="","",SUMIFS($H$5:$H$500,$B$5:$B$500,B255,$A$5:$A$500,"&lt;="&amp;A255)-SUMIFS($I$5:$I$500,$B$5:$B$500,B255,$A$5:$A$500,"&lt;="&amp;A255))</x:f>
        <x:v>3.5</x:v>
      </x:c>
      <x:c r="K255" s="30" t="str">
        <x:f>IF(B255="","",IF(J255&lt;=0,"ESGOTADO",IF(J255&lt;=Config!$H$2,"SALDO CRÍTICO",IF(J255&lt;=Config!$H$3,"SALDO BAIXO","OK"))))</x:f>
        <x:v>OK</x:v>
      </x:c>
      <x:c r="L255" s="34" t="str"/>
      <x:c r="M255" s="30" t="str">
        <x:v>PRIME PORTUGAL</x:v>
      </x:c>
    </x:row>
    <x:row r="256">
      <x:c r="A256" s="30" t="n">
        <x:v>252</x:v>
      </x:c>
      <x:c r="B256" s="30" t="str">
        <x:v>PRIME PORTUGAL</x:v>
      </x:c>
      <x:c r="C256" s="32" t="n">
        <x:v>45593</x:v>
      </x:c>
      <x:c r="D256" s="30" t="str">
        <x:v>Intervenção</x:v>
      </x:c>
      <x:c r="E256" s="30" t="str"/>
      <x:c r="F256" s="30" t="str"/>
      <x:c r="G256" s="30" t="str">
        <x:v>AR Contanza (Saida do Ricardo)</x:v>
      </x:c>
      <x:c r="H256" s="34" t="str"/>
      <x:c r="I256" s="34" t="n">
        <x:v>0.5</x:v>
      </x:c>
      <x:c r="J256" s="34" t="n">
        <x:f>IF(B256="","",SUMIFS($H$5:$H$500,$B$5:$B$500,B256,$A$5:$A$500,"&lt;="&amp;A256)-SUMIFS($I$5:$I$500,$B$5:$B$500,B256,$A$5:$A$500,"&lt;="&amp;A256))</x:f>
        <x:v>3</x:v>
      </x:c>
      <x:c r="K256" s="30" t="str">
        <x:f>IF(B256="","",IF(J256&lt;=0,"ESGOTADO",IF(J256&lt;=Config!$H$2,"SALDO CRÍTICO",IF(J256&lt;=Config!$H$3,"SALDO BAIXO","OK"))))</x:f>
        <x:v>OK</x:v>
      </x:c>
      <x:c r="L256" s="34" t="str"/>
      <x:c r="M256" s="30" t="str">
        <x:v>PRIME PORTUGAL</x:v>
      </x:c>
    </x:row>
    <x:row r="257">
      <x:c r="A257" s="30" t="n">
        <x:v>253</x:v>
      </x:c>
      <x:c r="B257" s="30" t="str">
        <x:v>PRIME PORTUGAL</x:v>
      </x:c>
      <x:c r="C257" s="32" t="n">
        <x:v>45646</x:v>
      </x:c>
      <x:c r="D257" s="30" t="str">
        <x:v>Intervenção</x:v>
      </x:c>
      <x:c r="E257" s="30" t="str"/>
      <x:c r="F257" s="30" t="str"/>
      <x:c r="G257" s="30" t="str">
        <x:v>AR Constanza Problema com PDFs</x:v>
      </x:c>
      <x:c r="H257" s="34" t="str"/>
      <x:c r="I257" s="34" t="n">
        <x:v>0.15</x:v>
      </x:c>
      <x:c r="J257" s="34" t="n">
        <x:f>IF(B257="","",SUMIFS($H$5:$H$500,$B$5:$B$500,B257,$A$5:$A$500,"&lt;="&amp;A257)-SUMIFS($I$5:$I$500,$B$5:$B$500,B257,$A$5:$A$500,"&lt;="&amp;A257))</x:f>
        <x:v>2.85</x:v>
      </x:c>
      <x:c r="K257" s="30" t="str">
        <x:f>IF(B257="","",IF(J257&lt;=0,"ESGOTADO",IF(J257&lt;=Config!$H$2,"SALDO CRÍTICO",IF(J257&lt;=Config!$H$3,"SALDO BAIXO","OK"))))</x:f>
        <x:v>OK</x:v>
      </x:c>
      <x:c r="L257" s="34" t="str"/>
      <x:c r="M257" s="30" t="str">
        <x:v>PRIME PORTUGAL</x:v>
      </x:c>
    </x:row>
    <x:row r="258">
      <x:c r="A258" s="30" t="n">
        <x:v>254</x:v>
      </x:c>
      <x:c r="B258" s="30" t="str">
        <x:v>PRIME PORTUGAL</x:v>
      </x:c>
      <x:c r="C258" s="32" t="n">
        <x:v>45666</x:v>
      </x:c>
      <x:c r="D258" s="30" t="str">
        <x:v>Intervenção</x:v>
      </x:c>
      <x:c r="E258" s="30" t="str"/>
      <x:c r="F258" s="30" t="str"/>
      <x:c r="G258" s="30" t="str">
        <x:v>Passagem iPhone Frederico Rosales</x:v>
      </x:c>
      <x:c r="H258" s="34" t="str"/>
      <x:c r="I258" s="34" t="n">
        <x:v>3</x:v>
      </x:c>
      <x:c r="J258" s="34" t="n">
        <x:f>IF(B258="","",SUMIFS($H$5:$H$500,$B$5:$B$500,B258,$A$5:$A$500,"&lt;="&amp;A258)-SUMIFS($I$5:$I$500,$B$5:$B$500,B258,$A$5:$A$500,"&lt;="&amp;A258))</x:f>
        <x:v>-0.15000000000000036</x:v>
      </x:c>
      <x:c r="K258" s="30" t="str">
        <x:f>IF(B258="","",IF(J258&lt;=0,"ESGOTADO",IF(J258&lt;=Config!$H$2,"SALDO CRÍTICO",IF(J258&lt;=Config!$H$3,"SALDO BAIXO","OK"))))</x:f>
        <x:v>ESGOTADO</x:v>
      </x:c>
      <x:c r="L258" s="34" t="str"/>
      <x:c r="M258" s="30" t="str">
        <x:v>PRIME PORTUGAL</x:v>
      </x:c>
    </x:row>
    <x:row r="259">
      <x:c r="A259" s="30" t="n">
        <x:v>255</x:v>
      </x:c>
      <x:c r="B259" s="30" t="str">
        <x:v>PRIME PORTUGAL</x:v>
      </x:c>
      <x:c r="C259" s="32" t="n">
        <x:v>45670</x:v>
      </x:c>
      <x:c r="D259" s="30" t="str">
        <x:v>Intervenção</x:v>
      </x:c>
      <x:c r="E259" s="30" t="str"/>
      <x:c r="F259" s="30" t="str"/>
      <x:c r="G259" s="30" t="str">
        <x:v>AR Camara Canon Constanza</x:v>
      </x:c>
      <x:c r="H259" s="34" t="str"/>
      <x:c r="I259" s="34" t="n">
        <x:v>0.15</x:v>
      </x:c>
      <x:c r="J259" s="34" t="n">
        <x:f>IF(B259="","",SUMIFS($H$5:$H$500,$B$5:$B$500,B259,$A$5:$A$500,"&lt;="&amp;A259)-SUMIFS($I$5:$I$500,$B$5:$B$500,B259,$A$5:$A$500,"&lt;="&amp;A259))</x:f>
        <x:v>-0.3000000000000007</x:v>
      </x:c>
      <x:c r="K259" s="30" t="str">
        <x:f>IF(B259="","",IF(J259&lt;=0,"ESGOTADO",IF(J259&lt;=Config!$H$2,"SALDO CRÍTICO",IF(J259&lt;=Config!$H$3,"SALDO BAIXO","OK"))))</x:f>
        <x:v>ESGOTADO</x:v>
      </x:c>
      <x:c r="L259" s="34" t="str"/>
      <x:c r="M259" s="30" t="str">
        <x:v>PRIME PORTUGAL</x:v>
      </x:c>
    </x:row>
    <x:row r="260">
      <x:c r="A260" s="30" t="n">
        <x:v>256</x:v>
      </x:c>
      <x:c r="B260" s="30" t="str">
        <x:v>PUREZA</x:v>
      </x:c>
      <x:c r="C260" s="32" t="n">
        <x:v>45968</x:v>
      </x:c>
      <x:c r="D260" s="30" t="str">
        <x:v>Compra</x:v>
      </x:c>
      <x:c r="E260" s="30" t="str"/>
      <x:c r="F260" s="30" t="str"/>
      <x:c r="G260" s="30" t="str">
        <x:v>Aquisição Pack 5 Horas</x:v>
      </x:c>
      <x:c r="H260" s="34" t="n">
        <x:v>5</x:v>
      </x:c>
      <x:c r="I260" s="34" t="str"/>
      <x:c r="J260" s="34" t="n">
        <x:f>IF(B260="","",SUMIFS($H$5:$H$500,$B$5:$B$500,B260,$A$5:$A$500,"&lt;="&amp;A260)-SUMIFS($I$5:$I$500,$B$5:$B$500,B260,$A$5:$A$500,"&lt;="&amp;A260))</x:f>
        <x:v>5</x:v>
      </x:c>
      <x:c r="K260" s="30" t="str">
        <x:f>IF(B260="","",IF(J260&lt;=0,"ESGOTADO",IF(J260&lt;=Config!$H$2,"SALDO CRÍTICO",IF(J260&lt;=Config!$H$3,"SALDO BAIXO","OK"))))</x:f>
        <x:v>OK</x:v>
      </x:c>
      <x:c r="L260" s="34" t="n">
        <x:v>5</x:v>
      </x:c>
      <x:c r="M260" s="30" t="str">
        <x:v>PUREZA</x:v>
      </x:c>
    </x:row>
    <x:row r="261">
      <x:c r="A261" s="30" t="n">
        <x:v>257</x:v>
      </x:c>
      <x:c r="B261" s="30" t="str">
        <x:v>PUREZA</x:v>
      </x:c>
      <x:c r="C261" s="32" t="n">
        <x:v>46114</x:v>
      </x:c>
      <x:c r="D261" s="30" t="str">
        <x:v>Intervenção</x:v>
      </x:c>
      <x:c r="E261" s="30" t="str">
        <x:v>Nuria</x:v>
      </x:c>
      <x:c r="F261" s="30" t="str">
        <x:v>Luis Lopes</x:v>
      </x:c>
      <x:c r="G261" s="30" t="str">
        <x:v>Assistência Remota Nuria Reconfigurar VPN e Share</x:v>
      </x:c>
      <x:c r="H261" s="34" t="str"/>
      <x:c r="I261" s="34" t="n">
        <x:v>0.5</x:v>
      </x:c>
      <x:c r="J261" s="34" t="n">
        <x:f>IF(B261="","",SUMIFS($H$5:$H$500,$B$5:$B$500,B261,$A$5:$A$500,"&lt;="&amp;A261)-SUMIFS($I$5:$I$500,$B$5:$B$500,B261,$A$5:$A$500,"&lt;="&amp;A261))</x:f>
        <x:v>4.5</x:v>
      </x:c>
      <x:c r="K261" s="30" t="str">
        <x:f>IF(B261="","",IF(J261&lt;=0,"ESGOTADO",IF(J261&lt;=Config!$H$2,"SALDO CRÍTICO",IF(J261&lt;=Config!$H$3,"SALDO BAIXO","OK"))))</x:f>
        <x:v>OK</x:v>
      </x:c>
      <x:c r="L261" s="34" t="n">
        <x:v>3.5</x:v>
      </x:c>
      <x:c r="M261" s="30" t="str">
        <x:v>PUREZA</x:v>
      </x:c>
    </x:row>
    <x:row r="262">
      <x:c r="A262" s="30" t="n">
        <x:v>258</x:v>
      </x:c>
      <x:c r="B262" s="30" t="str">
        <x:v>PUREZA</x:v>
      </x:c>
      <x:c r="C262" s="32" t="n">
        <x:v>46114</x:v>
      </x:c>
      <x:c r="D262" s="30" t="str">
        <x:v>Intervenção</x:v>
      </x:c>
      <x:c r="E262" s="30" t="str">
        <x:v>Nuria</x:v>
      </x:c>
      <x:c r="F262" s="30" t="str">
        <x:v>Luis Lopes</x:v>
      </x:c>
      <x:c r="G262" s="30" t="str">
        <x:v>Configuração do computador portátil novo da Nuria</x:v>
      </x:c>
      <x:c r="H262" s="34" t="str"/>
      <x:c r="I262" s="34" t="n">
        <x:v>1</x:v>
      </x:c>
      <x:c r="J262" s="34" t="n">
        <x:f>IF(B262="","",SUMIFS($H$5:$H$500,$B$5:$B$500,B262,$A$5:$A$500,"&lt;="&amp;A262)-SUMIFS($I$5:$I$500,$B$5:$B$500,B262,$A$5:$A$500,"&lt;="&amp;A262))</x:f>
        <x:v>3.5</x:v>
      </x:c>
      <x:c r="K262" s="30" t="str">
        <x:f>IF(B262="","",IF(J262&lt;=0,"ESGOTADO",IF(J262&lt;=Config!$H$2,"SALDO CRÍTICO",IF(J262&lt;=Config!$H$3,"SALDO BAIXO","OK"))))</x:f>
        <x:v>OK</x:v>
      </x:c>
      <x:c r="L262" s="34" t="n">
        <x:v>4</x:v>
      </x:c>
      <x:c r="M262" s="30" t="str">
        <x:v>PUREZA</x:v>
      </x:c>
    </x:row>
    <x:row r="263">
      <x:c r="A263" s="30" t="n">
        <x:v>259</x:v>
      </x:c>
      <x:c r="B263" s="30" t="str">
        <x:v>REORGANIZA COM SENTIDO</x:v>
      </x:c>
      <x:c r="C263" s="32" t="n">
        <x:v>44747</x:v>
      </x:c>
      <x:c r="D263" s="30" t="str">
        <x:v>Compra</x:v>
      </x:c>
      <x:c r="E263" s="30" t="str"/>
      <x:c r="F263" s="30" t="str"/>
      <x:c r="G263" s="30" t="str">
        <x:v>Aquisição/Saldo inicial pack (arquivo)</x:v>
      </x:c>
      <x:c r="H263" s="34" t="n">
        <x:v>5</x:v>
      </x:c>
      <x:c r="I263" s="34" t="str"/>
      <x:c r="J263" s="34" t="n">
        <x:f>IF(B263="","",SUMIFS($H$5:$H$500,$B$5:$B$500,B263,$A$5:$A$500,"&lt;="&amp;A263)-SUMIFS($I$5:$I$500,$B$5:$B$500,B263,$A$5:$A$500,"&lt;="&amp;A263))</x:f>
        <x:v>5</x:v>
      </x:c>
      <x:c r="K263" s="30" t="str">
        <x:f>IF(B263="","",IF(J263&lt;=0,"ESGOTADO",IF(J263&lt;=Config!$H$2,"SALDO CRÍTICO",IF(J263&lt;=Config!$H$3,"SALDO BAIXO","OK"))))</x:f>
        <x:v>OK</x:v>
      </x:c>
      <x:c r="L263" s="34" t="str"/>
      <x:c r="M263" s="30" t="str">
        <x:v>REORGANIZA COM SENTIDO</x:v>
      </x:c>
    </x:row>
    <x:row r="264">
      <x:c r="A264" s="30" t="n">
        <x:v>260</x:v>
      </x:c>
      <x:c r="B264" s="30" t="str">
        <x:v>REORGANIZA COM SENTIDO</x:v>
      </x:c>
      <x:c r="C264" s="32" t="n">
        <x:v>44747</x:v>
      </x:c>
      <x:c r="D264" s="30" t="str">
        <x:v>Intervenção</x:v>
      </x:c>
      <x:c r="E264" s="30" t="str"/>
      <x:c r="F264" s="30" t="str"/>
      <x:c r="G264" s="30" t="str">
        <x:v>Intervenção (arquivo)</x:v>
      </x:c>
      <x:c r="H264" s="34" t="str"/>
      <x:c r="I264" s="34" t="n">
        <x:v>5</x:v>
      </x:c>
      <x:c r="J264" s="34" t="n">
        <x:f>IF(B264="","",SUMIFS($H$5:$H$500,$B$5:$B$500,B264,$A$5:$A$500,"&lt;="&amp;A264)-SUMIFS($I$5:$I$500,$B$5:$B$500,B264,$A$5:$A$500,"&lt;="&amp;A264))</x:f>
        <x:v>0</x:v>
      </x:c>
      <x:c r="K264" s="30" t="str">
        <x:f>IF(B264="","",IF(J264&lt;=0,"ESGOTADO",IF(J264&lt;=Config!$H$2,"SALDO CRÍTICO",IF(J264&lt;=Config!$H$3,"SALDO BAIXO","OK"))))</x:f>
        <x:v>ESGOTADO</x:v>
      </x:c>
      <x:c r="L264" s="34" t="str"/>
      <x:c r="M264" s="30" t="str">
        <x:v>REORGANIZA COM SENTIDO</x:v>
      </x:c>
    </x:row>
    <x:row r="265">
      <x:c r="A265" s="30" t="n">
        <x:v>261</x:v>
      </x:c>
      <x:c r="B265" s="30" t="str">
        <x:v>REORGANIZA COM SENTIDO</x:v>
      </x:c>
      <x:c r="C265" s="32" t="n">
        <x:v>44949</x:v>
      </x:c>
      <x:c r="D265" s="30" t="str">
        <x:v>Intervenção</x:v>
      </x:c>
      <x:c r="E265" s="30" t="str"/>
      <x:c r="F265" s="30" t="str"/>
      <x:c r="G265" s="30" t="str">
        <x:v>Assistencia Beatriz Couto (Virus)</x:v>
      </x:c>
      <x:c r="H265" s="34" t="str"/>
      <x:c r="I265" s="34" t="n">
        <x:v>0.5</x:v>
      </x:c>
      <x:c r="J265" s="34" t="n">
        <x:f>IF(B265="","",SUMIFS($H$5:$H$500,$B$5:$B$500,B265,$A$5:$A$500,"&lt;="&amp;A265)-SUMIFS($I$5:$I$500,$B$5:$B$500,B265,$A$5:$A$500,"&lt;="&amp;A265))</x:f>
        <x:v>-0.5</x:v>
      </x:c>
      <x:c r="K265" s="30" t="str">
        <x:f>IF(B265="","",IF(J265&lt;=0,"ESGOTADO",IF(J265&lt;=Config!$H$2,"SALDO CRÍTICO",IF(J265&lt;=Config!$H$3,"SALDO BAIXO","OK"))))</x:f>
        <x:v>ESGOTADO</x:v>
      </x:c>
      <x:c r="L265" s="34" t="str"/>
      <x:c r="M265" s="30" t="str">
        <x:v>REORGANIZA COM SENTIDO</x:v>
      </x:c>
    </x:row>
    <x:row r="266">
      <x:c r="A266" s="30" t="n">
        <x:v>262</x:v>
      </x:c>
      <x:c r="B266" s="30" t="str">
        <x:v>REORGANIZA COM SENTIDO</x:v>
      </x:c>
      <x:c r="C266" s="32" t="n">
        <x:v>45278</x:v>
      </x:c>
      <x:c r="D266" s="30" t="str">
        <x:v>Compra</x:v>
      </x:c>
      <x:c r="E266" s="30" t="str"/>
      <x:c r="F266" s="30" t="str"/>
      <x:c r="G266" s="30" t="str">
        <x:v>Aquisição/Saldo inicial pack (arquivo)</x:v>
      </x:c>
      <x:c r="H266" s="34" t="n">
        <x:v>5</x:v>
      </x:c>
      <x:c r="I266" s="34" t="str"/>
      <x:c r="J266" s="34" t="n">
        <x:f>IF(B266="","",SUMIFS($H$5:$H$500,$B$5:$B$500,B266,$A$5:$A$500,"&lt;="&amp;A266)-SUMIFS($I$5:$I$500,$B$5:$B$500,B266,$A$5:$A$500,"&lt;="&amp;A266))</x:f>
        <x:v>4.5</x:v>
      </x:c>
      <x:c r="K266" s="30" t="str">
        <x:f>IF(B266="","",IF(J266&lt;=0,"ESGOTADO",IF(J266&lt;=Config!$H$2,"SALDO CRÍTICO",IF(J266&lt;=Config!$H$3,"SALDO BAIXO","OK"))))</x:f>
        <x:v>OK</x:v>
      </x:c>
      <x:c r="L266" s="34" t="str"/>
      <x:c r="M266" s="30" t="str">
        <x:v>REORGANIZA COM SENTIDO</x:v>
      </x:c>
    </x:row>
    <x:row r="267">
      <x:c r="A267" s="30" t="n">
        <x:v>263</x:v>
      </x:c>
      <x:c r="B267" s="30" t="str">
        <x:v>REORGANIZA COM SENTIDO</x:v>
      </x:c>
      <x:c r="C267" s="32" t="n">
        <x:v>45278</x:v>
      </x:c>
      <x:c r="D267" s="30" t="str">
        <x:v>Intervenção</x:v>
      </x:c>
      <x:c r="E267" s="30" t="str"/>
      <x:c r="F267" s="30" t="str"/>
      <x:c r="G267" s="30" t="str">
        <x:v>Instalação TV</x:v>
      </x:c>
      <x:c r="H267" s="34" t="str"/>
      <x:c r="I267" s="34" t="n">
        <x:v>2</x:v>
      </x:c>
      <x:c r="J267" s="34" t="n">
        <x:f>IF(B267="","",SUMIFS($H$5:$H$500,$B$5:$B$500,B267,$A$5:$A$500,"&lt;="&amp;A267)-SUMIFS($I$5:$I$500,$B$5:$B$500,B267,$A$5:$A$500,"&lt;="&amp;A267))</x:f>
        <x:v>2.5</x:v>
      </x:c>
      <x:c r="K267" s="30" t="str">
        <x:f>IF(B267="","",IF(J267&lt;=0,"ESGOTADO",IF(J267&lt;=Config!$H$2,"SALDO CRÍTICO",IF(J267&lt;=Config!$H$3,"SALDO BAIXO","OK"))))</x:f>
        <x:v>OK</x:v>
      </x:c>
      <x:c r="L267" s="34" t="str"/>
      <x:c r="M267" s="30" t="str">
        <x:v>REORGANIZA COM SENTIDO</x:v>
      </x:c>
    </x:row>
    <x:row r="268">
      <x:c r="A268" s="30" t="n">
        <x:v>264</x:v>
      </x:c>
      <x:c r="B268" s="30" t="str">
        <x:v>REORGANIZA COM SENTIDO</x:v>
      </x:c>
      <x:c r="C268" s="32" t="n">
        <x:v>45278</x:v>
      </x:c>
      <x:c r="D268" s="30" t="str">
        <x:v>Intervenção</x:v>
      </x:c>
      <x:c r="E268" s="30" t="str"/>
      <x:c r="F268" s="30" t="str"/>
      <x:c r="G268" s="30" t="str">
        <x:v>Intervenção (arquivo)</x:v>
      </x:c>
      <x:c r="H268" s="34" t="str"/>
      <x:c r="I268" s="34" t="n">
        <x:v>1</x:v>
      </x:c>
      <x:c r="J268" s="34" t="n">
        <x:f>IF(B268="","",SUMIFS($H$5:$H$500,$B$5:$B$500,B268,$A$5:$A$500,"&lt;="&amp;A268)-SUMIFS($I$5:$I$500,$B$5:$B$500,B268,$A$5:$A$500,"&lt;="&amp;A268))</x:f>
        <x:v>1.5</x:v>
      </x:c>
      <x:c r="K268" s="30" t="str">
        <x:f>IF(B268="","",IF(J268&lt;=0,"ESGOTADO",IF(J268&lt;=Config!$H$2,"SALDO CRÍTICO",IF(J268&lt;=Config!$H$3,"SALDO BAIXO","OK"))))</x:f>
        <x:v>SALDO BAIXO</x:v>
      </x:c>
      <x:c r="L268" s="34" t="str"/>
      <x:c r="M268" s="30" t="str">
        <x:v>REORGANIZA COM SENTIDO</x:v>
      </x:c>
    </x:row>
    <x:row r="269">
      <x:c r="A269" s="30" t="n">
        <x:v>265</x:v>
      </x:c>
      <x:c r="B269" s="30" t="str">
        <x:v>REORGANIZA COM SENTIDO</x:v>
      </x:c>
      <x:c r="C269" s="32" t="n">
        <x:v>45288</x:v>
      </x:c>
      <x:c r="D269" s="30" t="str">
        <x:v>Intervenção</x:v>
      </x:c>
      <x:c r="E269" s="30" t="str"/>
      <x:c r="F269" s="30" t="str"/>
      <x:c r="G269" s="30" t="str">
        <x:v>Reparação Portatil</x:v>
      </x:c>
      <x:c r="H269" s="34" t="str"/>
      <x:c r="I269" s="34" t="n">
        <x:v>1</x:v>
      </x:c>
      <x:c r="J269" s="34" t="n">
        <x:f>IF(B269="","",SUMIFS($H$5:$H$500,$B$5:$B$500,B269,$A$5:$A$500,"&lt;="&amp;A269)-SUMIFS($I$5:$I$500,$B$5:$B$500,B269,$A$5:$A$500,"&lt;="&amp;A269))</x:f>
        <x:v>0.5</x:v>
      </x:c>
      <x:c r="K269" s="30" t="str">
        <x:f>IF(B269="","",IF(J269&lt;=0,"ESGOTADO",IF(J269&lt;=Config!$H$2,"SALDO CRÍTICO",IF(J269&lt;=Config!$H$3,"SALDO BAIXO","OK"))))</x:f>
        <x:v>SALDO CRÍTICO</x:v>
      </x:c>
      <x:c r="L269" s="34" t="str"/>
      <x:c r="M269" s="30" t="str">
        <x:v>REORGANIZA COM SENTIDO</x:v>
      </x:c>
    </x:row>
    <x:row r="270">
      <x:c r="A270" s="30" t="n">
        <x:v>266</x:v>
      </x:c>
      <x:c r="B270" s="30" t="str">
        <x:v>REORGANIZA COM SENTIDO</x:v>
      </x:c>
      <x:c r="C270" s="32" t="n">
        <x:v>45323</x:v>
      </x:c>
      <x:c r="D270" s="30" t="str">
        <x:v>Intervenção</x:v>
      </x:c>
      <x:c r="E270" s="30" t="str"/>
      <x:c r="F270" s="30" t="str"/>
      <x:c r="G270" s="30" t="str">
        <x:v>Assistencia Claudia Barradinhas (Webcam)</x:v>
      </x:c>
      <x:c r="H270" s="34" t="str"/>
      <x:c r="I270" s="34" t="n">
        <x:v>0.25</x:v>
      </x:c>
      <x:c r="J270" s="34" t="n">
        <x:f>IF(B270="","",SUMIFS($H$5:$H$500,$B$5:$B$500,B270,$A$5:$A$500,"&lt;="&amp;A270)-SUMIFS($I$5:$I$500,$B$5:$B$500,B270,$A$5:$A$500,"&lt;="&amp;A270))</x:f>
        <x:v>0.25</x:v>
      </x:c>
      <x:c r="K270" s="30" t="str">
        <x:f>IF(B270="","",IF(J270&lt;=0,"ESGOTADO",IF(J270&lt;=Config!$H$2,"SALDO CRÍTICO",IF(J270&lt;=Config!$H$3,"SALDO BAIXO","OK"))))</x:f>
        <x:v>SALDO CRÍTICO</x:v>
      </x:c>
      <x:c r="L270" s="34" t="str"/>
      <x:c r="M270" s="30" t="str">
        <x:v>REORGANIZA COM SENTIDO</x:v>
      </x:c>
    </x:row>
    <x:row r="271">
      <x:c r="A271" s="30" t="n">
        <x:v>267</x:v>
      </x:c>
      <x:c r="B271" s="30" t="str">
        <x:v>REORGANIZA COM SENTIDO</x:v>
      </x:c>
      <x:c r="C271" s="32" t="n">
        <x:v>45348</x:v>
      </x:c>
      <x:c r="D271" s="30" t="str">
        <x:v>Compra</x:v>
      </x:c>
      <x:c r="E271" s="30" t="str"/>
      <x:c r="F271" s="30" t="str"/>
      <x:c r="G271" s="30" t="str">
        <x:v>Aquisição/Saldo inicial pack (arquivo)</x:v>
      </x:c>
      <x:c r="H271" s="34" t="n">
        <x:v>5</x:v>
      </x:c>
      <x:c r="I271" s="34" t="str"/>
      <x:c r="J271" s="34" t="n">
        <x:f>IF(B271="","",SUMIFS($H$5:$H$500,$B$5:$B$500,B271,$A$5:$A$500,"&lt;="&amp;A271)-SUMIFS($I$5:$I$500,$B$5:$B$500,B271,$A$5:$A$500,"&lt;="&amp;A271))</x:f>
        <x:v>5.25</x:v>
      </x:c>
      <x:c r="K271" s="30" t="str">
        <x:f>IF(B271="","",IF(J271&lt;=0,"ESGOTADO",IF(J271&lt;=Config!$H$2,"SALDO CRÍTICO",IF(J271&lt;=Config!$H$3,"SALDO BAIXO","OK"))))</x:f>
        <x:v>OK</x:v>
      </x:c>
      <x:c r="L271" s="34" t="str"/>
      <x:c r="M271" s="30" t="str">
        <x:v>REORGANIZA COM SENTIDO</x:v>
      </x:c>
    </x:row>
    <x:row r="272">
      <x:c r="A272" s="30" t="n">
        <x:v>268</x:v>
      </x:c>
      <x:c r="B272" s="30" t="str">
        <x:v>REORGANIZA COM SENTIDO</x:v>
      </x:c>
      <x:c r="C272" s="32" t="n">
        <x:v>45348</x:v>
      </x:c>
      <x:c r="D272" s="30" t="str">
        <x:v>Intervenção</x:v>
      </x:c>
      <x:c r="E272" s="30" t="str"/>
      <x:c r="F272" s="30" t="str"/>
      <x:c r="G272" s="30" t="str">
        <x:v>AR JOAO GATINHO</x:v>
      </x:c>
      <x:c r="H272" s="34" t="str"/>
      <x:c r="I272" s="34" t="n">
        <x:v>0.25</x:v>
      </x:c>
      <x:c r="J272" s="34" t="n">
        <x:f>IF(B272="","",SUMIFS($H$5:$H$500,$B$5:$B$500,B272,$A$5:$A$500,"&lt;="&amp;A272)-SUMIFS($I$5:$I$500,$B$5:$B$500,B272,$A$5:$A$500,"&lt;="&amp;A272))</x:f>
        <x:v>5</x:v>
      </x:c>
      <x:c r="K272" s="30" t="str">
        <x:f>IF(B272="","",IF(J272&lt;=0,"ESGOTADO",IF(J272&lt;=Config!$H$2,"SALDO CRÍTICO",IF(J272&lt;=Config!$H$3,"SALDO BAIXO","OK"))))</x:f>
        <x:v>OK</x:v>
      </x:c>
      <x:c r="L272" s="34" t="str"/>
      <x:c r="M272" s="30" t="str">
        <x:v>REORGANIZA COM SENTIDO</x:v>
      </x:c>
    </x:row>
    <x:row r="273">
      <x:c r="A273" s="30" t="n">
        <x:v>269</x:v>
      </x:c>
      <x:c r="B273" s="30" t="str">
        <x:v>REORGANIZA COM SENTIDO</x:v>
      </x:c>
      <x:c r="C273" s="32" t="n">
        <x:v>45371</x:v>
      </x:c>
      <x:c r="D273" s="30" t="str">
        <x:v>Intervenção</x:v>
      </x:c>
      <x:c r="E273" s="30" t="str"/>
      <x:c r="F273" s="30" t="str"/>
      <x:c r="G273" s="30" t="str">
        <x:v>AR Alexandre Jardim</x:v>
      </x:c>
      <x:c r="H273" s="34" t="str"/>
      <x:c r="I273" s="34" t="n">
        <x:v>0.25</x:v>
      </x:c>
      <x:c r="J273" s="34" t="n">
        <x:f>IF(B273="","",SUMIFS($H$5:$H$500,$B$5:$B$500,B273,$A$5:$A$500,"&lt;="&amp;A273)-SUMIFS($I$5:$I$500,$B$5:$B$500,B273,$A$5:$A$500,"&lt;="&amp;A273))</x:f>
        <x:v>4.75</x:v>
      </x:c>
      <x:c r="K273" s="30" t="str">
        <x:f>IF(B273="","",IF(J273&lt;=0,"ESGOTADO",IF(J273&lt;=Config!$H$2,"SALDO CRÍTICO",IF(J273&lt;=Config!$H$3,"SALDO BAIXO","OK"))))</x:f>
        <x:v>OK</x:v>
      </x:c>
      <x:c r="L273" s="34" t="str"/>
      <x:c r="M273" s="30" t="str">
        <x:v>REORGANIZA COM SENTIDO</x:v>
      </x:c>
    </x:row>
    <x:row r="274">
      <x:c r="A274" s="30" t="n">
        <x:v>270</x:v>
      </x:c>
      <x:c r="B274" s="30" t="str">
        <x:v>REORGANIZA COM SENTIDO</x:v>
      </x:c>
      <x:c r="C274" s="32" t="n">
        <x:v>45399</x:v>
      </x:c>
      <x:c r="D274" s="30" t="str">
        <x:v>Intervenção</x:v>
      </x:c>
      <x:c r="E274" s="30" t="str"/>
      <x:c r="F274" s="30" t="str"/>
      <x:c r="G274" s="30" t="str">
        <x:v>AR Miguel Vieira</x:v>
      </x:c>
      <x:c r="H274" s="34" t="str"/>
      <x:c r="I274" s="34" t="n">
        <x:v>1</x:v>
      </x:c>
      <x:c r="J274" s="34" t="n">
        <x:f>IF(B274="","",SUMIFS($H$5:$H$500,$B$5:$B$500,B274,$A$5:$A$500,"&lt;="&amp;A274)-SUMIFS($I$5:$I$500,$B$5:$B$500,B274,$A$5:$A$500,"&lt;="&amp;A274))</x:f>
        <x:v>3.75</x:v>
      </x:c>
      <x:c r="K274" s="30" t="str">
        <x:f>IF(B274="","",IF(J274&lt;=0,"ESGOTADO",IF(J274&lt;=Config!$H$2,"SALDO CRÍTICO",IF(J274&lt;=Config!$H$3,"SALDO BAIXO","OK"))))</x:f>
        <x:v>OK</x:v>
      </x:c>
      <x:c r="L274" s="34" t="str"/>
      <x:c r="M274" s="30" t="str">
        <x:v>REORGANIZA COM SENTIDO</x:v>
      </x:c>
    </x:row>
    <x:row r="275">
      <x:c r="A275" s="30" t="n">
        <x:v>271</x:v>
      </x:c>
      <x:c r="B275" s="30" t="str">
        <x:v>REORGANIZA COM SENTIDO</x:v>
      </x:c>
      <x:c r="C275" s="32" t="n">
        <x:v>45406</x:v>
      </x:c>
      <x:c r="D275" s="30" t="str">
        <x:v>Intervenção</x:v>
      </x:c>
      <x:c r="E275" s="30" t="str"/>
      <x:c r="F275" s="30" t="str"/>
      <x:c r="G275" s="30" t="str">
        <x:v>AR Beatriz Couto</x:v>
      </x:c>
      <x:c r="H275" s="34" t="str"/>
      <x:c r="I275" s="34" t="n">
        <x:v>0.25</x:v>
      </x:c>
      <x:c r="J275" s="34" t="n">
        <x:f>IF(B275="","",SUMIFS($H$5:$H$500,$B$5:$B$500,B275,$A$5:$A$500,"&lt;="&amp;A275)-SUMIFS($I$5:$I$500,$B$5:$B$500,B275,$A$5:$A$500,"&lt;="&amp;A275))</x:f>
        <x:v>3.5</x:v>
      </x:c>
      <x:c r="K275" s="30" t="str">
        <x:f>IF(B275="","",IF(J275&lt;=0,"ESGOTADO",IF(J275&lt;=Config!$H$2,"SALDO CRÍTICO",IF(J275&lt;=Config!$H$3,"SALDO BAIXO","OK"))))</x:f>
        <x:v>OK</x:v>
      </x:c>
      <x:c r="L275" s="34" t="str"/>
      <x:c r="M275" s="30" t="str">
        <x:v>REORGANIZA COM SENTIDO</x:v>
      </x:c>
    </x:row>
    <x:row r="276">
      <x:c r="A276" s="30" t="n">
        <x:v>272</x:v>
      </x:c>
      <x:c r="B276" s="30" t="str">
        <x:v>REORGANIZA COM SENTIDO</x:v>
      </x:c>
      <x:c r="C276" s="32" t="n">
        <x:v>45406</x:v>
      </x:c>
      <x:c r="D276" s="30" t="str">
        <x:v>Intervenção</x:v>
      </x:c>
      <x:c r="E276" s="30" t="str"/>
      <x:c r="F276" s="30" t="str"/>
      <x:c r="G276" s="30" t="str">
        <x:v>Config. Surface Maria Cunha</x:v>
      </x:c>
      <x:c r="H276" s="34" t="str"/>
      <x:c r="I276" s="34" t="n">
        <x:v>1</x:v>
      </x:c>
      <x:c r="J276" s="34" t="n">
        <x:f>IF(B276="","",SUMIFS($H$5:$H$500,$B$5:$B$500,B276,$A$5:$A$500,"&lt;="&amp;A276)-SUMIFS($I$5:$I$500,$B$5:$B$500,B276,$A$5:$A$500,"&lt;="&amp;A276))</x:f>
        <x:v>2.5</x:v>
      </x:c>
      <x:c r="K276" s="30" t="str">
        <x:f>IF(B276="","",IF(J276&lt;=0,"ESGOTADO",IF(J276&lt;=Config!$H$2,"SALDO CRÍTICO",IF(J276&lt;=Config!$H$3,"SALDO BAIXO","OK"))))</x:f>
        <x:v>OK</x:v>
      </x:c>
      <x:c r="L276" s="34" t="str"/>
      <x:c r="M276" s="30" t="str">
        <x:v>REORGANIZA COM SENTIDO</x:v>
      </x:c>
    </x:row>
    <x:row r="277">
      <x:c r="A277" s="30" t="n">
        <x:v>273</x:v>
      </x:c>
      <x:c r="B277" s="30" t="str">
        <x:v>REORGANIZA COM SENTIDO</x:v>
      </x:c>
      <x:c r="C277" s="32" t="n">
        <x:v>45414</x:v>
      </x:c>
      <x:c r="D277" s="30" t="str">
        <x:v>Intervenção</x:v>
      </x:c>
      <x:c r="E277" s="30" t="str"/>
      <x:c r="F277" s="30" t="str"/>
      <x:c r="G277" s="30" t="str">
        <x:v>AR Claudia Barradinhas</x:v>
      </x:c>
      <x:c r="H277" s="34" t="str"/>
      <x:c r="I277" s="34" t="n">
        <x:v>0.5</x:v>
      </x:c>
      <x:c r="J277" s="34" t="n">
        <x:f>IF(B277="","",SUMIFS($H$5:$H$500,$B$5:$B$500,B277,$A$5:$A$500,"&lt;="&amp;A277)-SUMIFS($I$5:$I$500,$B$5:$B$500,B277,$A$5:$A$500,"&lt;="&amp;A277))</x:f>
        <x:v>2</x:v>
      </x:c>
      <x:c r="K277" s="30" t="str">
        <x:f>IF(B277="","",IF(J277&lt;=0,"ESGOTADO",IF(J277&lt;=Config!$H$2,"SALDO CRÍTICO",IF(J277&lt;=Config!$H$3,"SALDO BAIXO","OK"))))</x:f>
        <x:v>SALDO BAIXO</x:v>
      </x:c>
      <x:c r="L277" s="34" t="str"/>
      <x:c r="M277" s="30" t="str">
        <x:v>REORGANIZA COM SENTIDO</x:v>
      </x:c>
    </x:row>
    <x:row r="278">
      <x:c r="A278" s="30" t="n">
        <x:v>274</x:v>
      </x:c>
      <x:c r="B278" s="30" t="str">
        <x:v>REORGANIZA COM SENTIDO</x:v>
      </x:c>
      <x:c r="C278" s="32" t="n">
        <x:v>45419</x:v>
      </x:c>
      <x:c r="D278" s="30" t="str">
        <x:v>Intervenção</x:v>
      </x:c>
      <x:c r="E278" s="30" t="str"/>
      <x:c r="F278" s="30" t="str"/>
      <x:c r="G278" s="30" t="str">
        <x:v>Configuração Módulo 365 ODOO</x:v>
      </x:c>
      <x:c r="H278" s="34" t="str"/>
      <x:c r="I278" s="34" t="n">
        <x:v>1</x:v>
      </x:c>
      <x:c r="J278" s="34" t="n">
        <x:f>IF(B278="","",SUMIFS($H$5:$H$500,$B$5:$B$500,B278,$A$5:$A$500,"&lt;="&amp;A278)-SUMIFS($I$5:$I$500,$B$5:$B$500,B278,$A$5:$A$500,"&lt;="&amp;A278))</x:f>
        <x:v>1</x:v>
      </x:c>
      <x:c r="K278" s="30" t="str">
        <x:f>IF(B278="","",IF(J278&lt;=0,"ESGOTADO",IF(J278&lt;=Config!$H$2,"SALDO CRÍTICO",IF(J278&lt;=Config!$H$3,"SALDO BAIXO","OK"))))</x:f>
        <x:v>SALDO CRÍTICO</x:v>
      </x:c>
      <x:c r="L278" s="34" t="str"/>
      <x:c r="M278" s="30" t="str">
        <x:v>REORGANIZA COM SENTIDO</x:v>
      </x:c>
    </x:row>
    <x:row r="279">
      <x:c r="A279" s="30" t="n">
        <x:v>275</x:v>
      </x:c>
      <x:c r="B279" s="30" t="str">
        <x:v>REORGANIZA COM SENTIDO</x:v>
      </x:c>
      <x:c r="C279" s="32" t="n">
        <x:v>45441</x:v>
      </x:c>
      <x:c r="D279" s="30" t="str">
        <x:v>Intervenção</x:v>
      </x:c>
      <x:c r="E279" s="30" t="str"/>
      <x:c r="F279" s="30" t="str"/>
      <x:c r="G279" s="30" t="str">
        <x:v>Finalização do Módulo ODOO</x:v>
      </x:c>
      <x:c r="H279" s="34" t="str"/>
      <x:c r="I279" s="34" t="n">
        <x:v>0.15</x:v>
      </x:c>
      <x:c r="J279" s="34" t="n">
        <x:f>IF(B279="","",SUMIFS($H$5:$H$500,$B$5:$B$500,B279,$A$5:$A$500,"&lt;="&amp;A279)-SUMIFS($I$5:$I$500,$B$5:$B$500,B279,$A$5:$A$500,"&lt;="&amp;A279))</x:f>
        <x:v>0.8499999999999996</x:v>
      </x:c>
      <x:c r="K279" s="30" t="str">
        <x:f>IF(B279="","",IF(J279&lt;=0,"ESGOTADO",IF(J279&lt;=Config!$H$2,"SALDO CRÍTICO",IF(J279&lt;=Config!$H$3,"SALDO BAIXO","OK"))))</x:f>
        <x:v>SALDO CRÍTICO</x:v>
      </x:c>
      <x:c r="L279" s="34" t="str"/>
      <x:c r="M279" s="30" t="str">
        <x:v>REORGANIZA COM SENTIDO</x:v>
      </x:c>
    </x:row>
    <x:row r="280">
      <x:c r="A280" s="30" t="n">
        <x:v>276</x:v>
      </x:c>
      <x:c r="B280" s="30" t="str">
        <x:v>REORGANIZA COM SENTIDO</x:v>
      </x:c>
      <x:c r="C280" s="32" t="n">
        <x:v>45467</x:v>
      </x:c>
      <x:c r="D280" s="30" t="str">
        <x:v>Intervenção</x:v>
      </x:c>
      <x:c r="E280" s="30" t="str"/>
      <x:c r="F280" s="30" t="str"/>
      <x:c r="G280" s="30" t="str">
        <x:v>AR Catarina Rolim</x:v>
      </x:c>
      <x:c r="H280" s="34" t="str"/>
      <x:c r="I280" s="34" t="n">
        <x:v>0.5</x:v>
      </x:c>
      <x:c r="J280" s="34" t="n">
        <x:f>IF(B280="","",SUMIFS($H$5:$H$500,$B$5:$B$500,B280,$A$5:$A$500,"&lt;="&amp;A280)-SUMIFS($I$5:$I$500,$B$5:$B$500,B280,$A$5:$A$500,"&lt;="&amp;A280))</x:f>
        <x:v>0.34999999999999964</x:v>
      </x:c>
      <x:c r="K280" s="30" t="str">
        <x:f>IF(B280="","",IF(J280&lt;=0,"ESGOTADO",IF(J280&lt;=Config!$H$2,"SALDO CRÍTICO",IF(J280&lt;=Config!$H$3,"SALDO BAIXO","OK"))))</x:f>
        <x:v>SALDO CRÍTICO</x:v>
      </x:c>
      <x:c r="L280" s="34" t="str"/>
      <x:c r="M280" s="30" t="str">
        <x:v>REORGANIZA COM SENTIDO</x:v>
      </x:c>
    </x:row>
    <x:row r="281">
      <x:c r="A281" s="30" t="n">
        <x:v>277</x:v>
      </x:c>
      <x:c r="B281" s="30" t="str">
        <x:v>REORGANIZA COM SENTIDO</x:v>
      </x:c>
      <x:c r="C281" s="32" t="n">
        <x:v>45471</x:v>
      </x:c>
      <x:c r="D281" s="30" t="str">
        <x:v>Compra</x:v>
      </x:c>
      <x:c r="E281" s="30" t="str"/>
      <x:c r="F281" s="30" t="str"/>
      <x:c r="G281" s="30" t="str">
        <x:v>Aquisição/Saldo inicial pack (arquivo)</x:v>
      </x:c>
      <x:c r="H281" s="34" t="n">
        <x:v>10</x:v>
      </x:c>
      <x:c r="I281" s="34" t="str"/>
      <x:c r="J281" s="34" t="n">
        <x:f>IF(B281="","",SUMIFS($H$5:$H$500,$B$5:$B$500,B281,$A$5:$A$500,"&lt;="&amp;A281)-SUMIFS($I$5:$I$500,$B$5:$B$500,B281,$A$5:$A$500,"&lt;="&amp;A281))</x:f>
        <x:v>10.35</x:v>
      </x:c>
      <x:c r="K281" s="30" t="str">
        <x:f>IF(B281="","",IF(J281&lt;=0,"ESGOTADO",IF(J281&lt;=Config!$H$2,"SALDO CRÍTICO",IF(J281&lt;=Config!$H$3,"SALDO BAIXO","OK"))))</x:f>
        <x:v>OK</x:v>
      </x:c>
      <x:c r="L281" s="34" t="str"/>
      <x:c r="M281" s="30" t="str">
        <x:v>REORGANIZA COM SENTIDO</x:v>
      </x:c>
    </x:row>
    <x:row r="282">
      <x:c r="A282" s="30" t="n">
        <x:v>278</x:v>
      </x:c>
      <x:c r="B282" s="30" t="str">
        <x:v>REORGANIZA COM SENTIDO</x:v>
      </x:c>
      <x:c r="C282" s="32" t="n">
        <x:v>45471</x:v>
      </x:c>
      <x:c r="D282" s="30" t="str">
        <x:v>Intervenção</x:v>
      </x:c>
      <x:c r="E282" s="30" t="str"/>
      <x:c r="F282" s="30" t="str"/>
      <x:c r="G282" s="30" t="str">
        <x:v>19/09/2024 AR Com beatriz sobre maria cunha</x:v>
      </x:c>
      <x:c r="H282" s="34" t="str"/>
      <x:c r="I282" s="34" t="n">
        <x:v>0.5</x:v>
      </x:c>
      <x:c r="J282" s="34" t="n">
        <x:f>IF(B282="","",SUMIFS($H$5:$H$500,$B$5:$B$500,B282,$A$5:$A$500,"&lt;="&amp;A282)-SUMIFS($I$5:$I$500,$B$5:$B$500,B282,$A$5:$A$500,"&lt;="&amp;A282))</x:f>
        <x:v>9.85</x:v>
      </x:c>
      <x:c r="K282" s="30" t="str">
        <x:f>IF(B282="","",IF(J282&lt;=0,"ESGOTADO",IF(J282&lt;=Config!$H$2,"SALDO CRÍTICO",IF(J282&lt;=Config!$H$3,"SALDO BAIXO","OK"))))</x:f>
        <x:v>OK</x:v>
      </x:c>
      <x:c r="L282" s="34" t="str"/>
      <x:c r="M282" s="30" t="str">
        <x:v>REORGANIZA COM SENTIDO</x:v>
      </x:c>
    </x:row>
    <x:row r="283">
      <x:c r="A283" s="30" t="n">
        <x:v>279</x:v>
      </x:c>
      <x:c r="B283" s="30" t="str">
        <x:v>REORGANIZA COM SENTIDO</x:v>
      </x:c>
      <x:c r="C283" s="32" t="n">
        <x:v>45485</x:v>
      </x:c>
      <x:c r="D283" s="30" t="str">
        <x:v>Intervenção</x:v>
      </x:c>
      <x:c r="E283" s="30" t="str"/>
      <x:c r="F283" s="30" t="str"/>
      <x:c r="G283" s="30" t="str">
        <x:v>AR Tania Filipa</x:v>
      </x:c>
      <x:c r="H283" s="34" t="str"/>
      <x:c r="I283" s="34" t="n">
        <x:v>0.35</x:v>
      </x:c>
      <x:c r="J283" s="34" t="n">
        <x:f>IF(B283="","",SUMIFS($H$5:$H$500,$B$5:$B$500,B283,$A$5:$A$500,"&lt;="&amp;A283)-SUMIFS($I$5:$I$500,$B$5:$B$500,B283,$A$5:$A$500,"&lt;="&amp;A283))</x:f>
        <x:v>9.5</x:v>
      </x:c>
      <x:c r="K283" s="30" t="str">
        <x:f>IF(B283="","",IF(J283&lt;=0,"ESGOTADO",IF(J283&lt;=Config!$H$2,"SALDO CRÍTICO",IF(J283&lt;=Config!$H$3,"SALDO BAIXO","OK"))))</x:f>
        <x:v>OK</x:v>
      </x:c>
      <x:c r="L283" s="34" t="str"/>
      <x:c r="M283" s="30" t="str">
        <x:v>REORGANIZA COM SENTIDO</x:v>
      </x:c>
    </x:row>
    <x:row r="284">
      <x:c r="A284" s="30" t="n">
        <x:v>280</x:v>
      </x:c>
      <x:c r="B284" s="30" t="str">
        <x:v>REORGANIZA COM SENTIDO</x:v>
      </x:c>
      <x:c r="C284" s="32" t="n">
        <x:v>45499</x:v>
      </x:c>
      <x:c r="D284" s="30" t="str">
        <x:v>Intervenção</x:v>
      </x:c>
      <x:c r="E284" s="30" t="str"/>
      <x:c r="F284" s="30" t="str"/>
      <x:c r="G284" s="30" t="str">
        <x:v>AR ANA FAZENDEIRO</x:v>
      </x:c>
      <x:c r="H284" s="34" t="str"/>
      <x:c r="I284" s="34" t="n">
        <x:v>0.15</x:v>
      </x:c>
      <x:c r="J284" s="34" t="n">
        <x:f>IF(B284="","",SUMIFS($H$5:$H$500,$B$5:$B$500,B284,$A$5:$A$500,"&lt;="&amp;A284)-SUMIFS($I$5:$I$500,$B$5:$B$500,B284,$A$5:$A$500,"&lt;="&amp;A284))</x:f>
        <x:v>9.35</x:v>
      </x:c>
      <x:c r="K284" s="30" t="str">
        <x:f>IF(B284="","",IF(J284&lt;=0,"ESGOTADO",IF(J284&lt;=Config!$H$2,"SALDO CRÍTICO",IF(J284&lt;=Config!$H$3,"SALDO BAIXO","OK"))))</x:f>
        <x:v>OK</x:v>
      </x:c>
      <x:c r="L284" s="34" t="str"/>
      <x:c r="M284" s="30" t="str">
        <x:v>REORGANIZA COM SENTIDO</x:v>
      </x:c>
    </x:row>
    <x:row r="285">
      <x:c r="A285" s="30" t="n">
        <x:v>281</x:v>
      </x:c>
      <x:c r="B285" s="30" t="str">
        <x:v>REORGANIZA COM SENTIDO</x:v>
      </x:c>
      <x:c r="C285" s="32" t="n">
        <x:v>45545</x:v>
      </x:c>
      <x:c r="D285" s="30" t="str">
        <x:v>Intervenção</x:v>
      </x:c>
      <x:c r="E285" s="30" t="str"/>
      <x:c r="F285" s="30" t="str"/>
      <x:c r="G285" s="30" t="str">
        <x:v>AR Tiago Almeida</x:v>
      </x:c>
      <x:c r="H285" s="34" t="str"/>
      <x:c r="I285" s="34" t="n">
        <x:v>0.5</x:v>
      </x:c>
      <x:c r="J285" s="34" t="n">
        <x:f>IF(B285="","",SUMIFS($H$5:$H$500,$B$5:$B$500,B285,$A$5:$A$500,"&lt;="&amp;A285)-SUMIFS($I$5:$I$500,$B$5:$B$500,B285,$A$5:$A$500,"&lt;="&amp;A285))</x:f>
        <x:v>8.850000000000001</x:v>
      </x:c>
      <x:c r="K285" s="30" t="str">
        <x:f>IF(B285="","",IF(J285&lt;=0,"ESGOTADO",IF(J285&lt;=Config!$H$2,"SALDO CRÍTICO",IF(J285&lt;=Config!$H$3,"SALDO BAIXO","OK"))))</x:f>
        <x:v>OK</x:v>
      </x:c>
      <x:c r="L285" s="34" t="str"/>
      <x:c r="M285" s="30" t="str">
        <x:v>REORGANIZA COM SENTIDO</x:v>
      </x:c>
    </x:row>
    <x:row r="286">
      <x:c r="A286" s="30" t="n">
        <x:v>282</x:v>
      </x:c>
      <x:c r="B286" s="30" t="str">
        <x:v>REORGANIZA COM SENTIDO</x:v>
      </x:c>
      <x:c r="C286" s="32" t="n">
        <x:v>45561</x:v>
      </x:c>
      <x:c r="D286" s="30" t="str">
        <x:v>Intervenção</x:v>
      </x:c>
      <x:c r="E286" s="30" t="str"/>
      <x:c r="F286" s="30" t="str"/>
      <x:c r="G286" s="30" t="str">
        <x:v>Config. Portátil Novo</x:v>
      </x:c>
      <x:c r="H286" s="34" t="str"/>
      <x:c r="I286" s="34" t="n">
        <x:v>1</x:v>
      </x:c>
      <x:c r="J286" s="34" t="n">
        <x:f>IF(B286="","",SUMIFS($H$5:$H$500,$B$5:$B$500,B286,$A$5:$A$500,"&lt;="&amp;A286)-SUMIFS($I$5:$I$500,$B$5:$B$500,B286,$A$5:$A$500,"&lt;="&amp;A286))</x:f>
        <x:v>7.850000000000001</x:v>
      </x:c>
      <x:c r="K286" s="30" t="str">
        <x:f>IF(B286="","",IF(J286&lt;=0,"ESGOTADO",IF(J286&lt;=Config!$H$2,"SALDO CRÍTICO",IF(J286&lt;=Config!$H$3,"SALDO BAIXO","OK"))))</x:f>
        <x:v>OK</x:v>
      </x:c>
      <x:c r="L286" s="34" t="str"/>
      <x:c r="M286" s="30" t="str">
        <x:v>REORGANIZA COM SENTIDO</x:v>
      </x:c>
    </x:row>
    <x:row r="287">
      <x:c r="A287" s="30" t="n">
        <x:v>283</x:v>
      </x:c>
      <x:c r="B287" s="30" t="str">
        <x:v>REORGANIZA COM SENTIDO</x:v>
      </x:c>
      <x:c r="C287" s="32" t="n">
        <x:v>45569</x:v>
      </x:c>
      <x:c r="D287" s="30" t="str">
        <x:v>Intervenção</x:v>
      </x:c>
      <x:c r="E287" s="30" t="str"/>
      <x:c r="F287" s="30" t="str"/>
      <x:c r="G287" s="30" t="str">
        <x:v>Config. CRM com WebTech Bruno Vaz</x:v>
      </x:c>
      <x:c r="H287" s="34" t="str"/>
      <x:c r="I287" s="34" t="n">
        <x:v>1</x:v>
      </x:c>
      <x:c r="J287" s="34" t="n">
        <x:f>IF(B287="","",SUMIFS($H$5:$H$500,$B$5:$B$500,B287,$A$5:$A$500,"&lt;="&amp;A287)-SUMIFS($I$5:$I$500,$B$5:$B$500,B287,$A$5:$A$500,"&lt;="&amp;A287))</x:f>
        <x:v>6.850000000000001</x:v>
      </x:c>
      <x:c r="K287" s="30" t="str">
        <x:f>IF(B287="","",IF(J287&lt;=0,"ESGOTADO",IF(J287&lt;=Config!$H$2,"SALDO CRÍTICO",IF(J287&lt;=Config!$H$3,"SALDO BAIXO","OK"))))</x:f>
        <x:v>OK</x:v>
      </x:c>
      <x:c r="L287" s="34" t="str"/>
      <x:c r="M287" s="30" t="str">
        <x:v>REORGANIZA COM SENTIDO</x:v>
      </x:c>
    </x:row>
    <x:row r="288">
      <x:c r="A288" s="30" t="n">
        <x:v>284</x:v>
      </x:c>
      <x:c r="B288" s="30" t="str">
        <x:v>REORGANIZA COM SENTIDO</x:v>
      </x:c>
      <x:c r="C288" s="32" t="n">
        <x:v>45575</x:v>
      </x:c>
      <x:c r="D288" s="30" t="str">
        <x:v>Intervenção</x:v>
      </x:c>
      <x:c r="E288" s="30" t="str"/>
      <x:c r="F288" s="30" t="str"/>
      <x:c r="G288" s="30" t="str">
        <x:v>AR Joao Gatinho</x:v>
      </x:c>
      <x:c r="H288" s="34" t="str"/>
      <x:c r="I288" s="34" t="n">
        <x:v>0.5</x:v>
      </x:c>
      <x:c r="J288" s="34" t="n">
        <x:f>IF(B288="","",SUMIFS($H$5:$H$500,$B$5:$B$500,B288,$A$5:$A$500,"&lt;="&amp;A288)-SUMIFS($I$5:$I$500,$B$5:$B$500,B288,$A$5:$A$500,"&lt;="&amp;A288))</x:f>
        <x:v>6.350000000000001</x:v>
      </x:c>
      <x:c r="K288" s="30" t="str">
        <x:f>IF(B288="","",IF(J288&lt;=0,"ESGOTADO",IF(J288&lt;=Config!$H$2,"SALDO CRÍTICO",IF(J288&lt;=Config!$H$3,"SALDO BAIXO","OK"))))</x:f>
        <x:v>OK</x:v>
      </x:c>
      <x:c r="L288" s="34" t="str"/>
      <x:c r="M288" s="30" t="str">
        <x:v>REORGANIZA COM SENTIDO</x:v>
      </x:c>
    </x:row>
    <x:row r="289">
      <x:c r="A289" s="30" t="n">
        <x:v>285</x:v>
      </x:c>
      <x:c r="B289" s="30" t="str">
        <x:v>REORGANIZA COM SENTIDO</x:v>
      </x:c>
      <x:c r="C289" s="32" t="n">
        <x:v>45576</x:v>
      </x:c>
      <x:c r="D289" s="30" t="str">
        <x:v>Intervenção</x:v>
      </x:c>
      <x:c r="E289" s="30" t="str"/>
      <x:c r="F289" s="30" t="str"/>
      <x:c r="G289" s="30" t="str">
        <x:v>MO do Portátil do João Gatinho</x:v>
      </x:c>
      <x:c r="H289" s="34" t="str"/>
      <x:c r="I289" s="34" t="n">
        <x:v>1</x:v>
      </x:c>
      <x:c r="J289" s="34" t="n">
        <x:f>IF(B289="","",SUMIFS($H$5:$H$500,$B$5:$B$500,B289,$A$5:$A$500,"&lt;="&amp;A289)-SUMIFS($I$5:$I$500,$B$5:$B$500,B289,$A$5:$A$500,"&lt;="&amp;A289))</x:f>
        <x:v>5.350000000000001</x:v>
      </x:c>
      <x:c r="K289" s="30" t="str">
        <x:f>IF(B289="","",IF(J289&lt;=0,"ESGOTADO",IF(J289&lt;=Config!$H$2,"SALDO CRÍTICO",IF(J289&lt;=Config!$H$3,"SALDO BAIXO","OK"))))</x:f>
        <x:v>OK</x:v>
      </x:c>
      <x:c r="L289" s="34" t="str"/>
      <x:c r="M289" s="30" t="str">
        <x:v>REORGANIZA COM SENTIDO</x:v>
      </x:c>
    </x:row>
    <x:row r="290">
      <x:c r="A290" s="30" t="n">
        <x:v>286</x:v>
      </x:c>
      <x:c r="B290" s="30" t="str">
        <x:v>REORGANIZA COM SENTIDO</x:v>
      </x:c>
      <x:c r="C290" s="32" t="n">
        <x:v>45579</x:v>
      </x:c>
      <x:c r="D290" s="30" t="str">
        <x:v>Intervenção</x:v>
      </x:c>
      <x:c r="E290" s="30" t="str"/>
      <x:c r="F290" s="30" t="str"/>
      <x:c r="G290" s="30" t="str">
        <x:v>AR Miguel Vieira + Joao</x:v>
      </x:c>
      <x:c r="H290" s="34" t="str"/>
      <x:c r="I290" s="34" t="n">
        <x:v>0.5</x:v>
      </x:c>
      <x:c r="J290" s="34" t="n">
        <x:f>IF(B290="","",SUMIFS($H$5:$H$500,$B$5:$B$500,B290,$A$5:$A$500,"&lt;="&amp;A290)-SUMIFS($I$5:$I$500,$B$5:$B$500,B290,$A$5:$A$500,"&lt;="&amp;A290))</x:f>
        <x:v>4.850000000000001</x:v>
      </x:c>
      <x:c r="K290" s="30" t="str">
        <x:f>IF(B290="","",IF(J290&lt;=0,"ESGOTADO",IF(J290&lt;=Config!$H$2,"SALDO CRÍTICO",IF(J290&lt;=Config!$H$3,"SALDO BAIXO","OK"))))</x:f>
        <x:v>OK</x:v>
      </x:c>
      <x:c r="L290" s="34" t="str"/>
      <x:c r="M290" s="30" t="str">
        <x:v>REORGANIZA COM SENTIDO</x:v>
      </x:c>
    </x:row>
    <x:row r="291">
      <x:c r="A291" s="30" t="n">
        <x:v>287</x:v>
      </x:c>
      <x:c r="B291" s="30" t="str">
        <x:v>REORGANIZA COM SENTIDO</x:v>
      </x:c>
      <x:c r="C291" s="32" t="n">
        <x:v>45580</x:v>
      </x:c>
      <x:c r="D291" s="30" t="str">
        <x:v>Intervenção</x:v>
      </x:c>
      <x:c r="E291" s="30" t="str"/>
      <x:c r="F291" s="30" t="str"/>
      <x:c r="G291" s="30" t="str">
        <x:v>AR Dina</x:v>
      </x:c>
      <x:c r="H291" s="34" t="str"/>
      <x:c r="I291" s="34" t="n">
        <x:v>0.25</x:v>
      </x:c>
      <x:c r="J291" s="34" t="n">
        <x:f>IF(B291="","",SUMIFS($H$5:$H$500,$B$5:$B$500,B291,$A$5:$A$500,"&lt;="&amp;A291)-SUMIFS($I$5:$I$500,$B$5:$B$500,B291,$A$5:$A$500,"&lt;="&amp;A291))</x:f>
        <x:v>4.600000000000001</x:v>
      </x:c>
      <x:c r="K291" s="30" t="str">
        <x:f>IF(B291="","",IF(J291&lt;=0,"ESGOTADO",IF(J291&lt;=Config!$H$2,"SALDO CRÍTICO",IF(J291&lt;=Config!$H$3,"SALDO BAIXO","OK"))))</x:f>
        <x:v>OK</x:v>
      </x:c>
      <x:c r="L291" s="34" t="str"/>
      <x:c r="M291" s="30" t="str">
        <x:v>REORGANIZA COM SENTIDO</x:v>
      </x:c>
    </x:row>
    <x:row r="292">
      <x:c r="A292" s="30" t="n">
        <x:v>288</x:v>
      </x:c>
      <x:c r="B292" s="30" t="str">
        <x:v>REORGANIZA COM SENTIDO</x:v>
      </x:c>
      <x:c r="C292" s="32" t="n">
        <x:v>45611</x:v>
      </x:c>
      <x:c r="D292" s="30" t="str">
        <x:v>Intervenção</x:v>
      </x:c>
      <x:c r="E292" s="30" t="str"/>
      <x:c r="F292" s="30" t="str"/>
      <x:c r="G292" s="30" t="str">
        <x:v>Clone Ptt Mafalda</x:v>
      </x:c>
      <x:c r="H292" s="34" t="str"/>
      <x:c r="I292" s="34" t="n">
        <x:v>1</x:v>
      </x:c>
      <x:c r="J292" s="34" t="n">
        <x:f>IF(B292="","",SUMIFS($H$5:$H$500,$B$5:$B$500,B292,$A$5:$A$500,"&lt;="&amp;A292)-SUMIFS($I$5:$I$500,$B$5:$B$500,B292,$A$5:$A$500,"&lt;="&amp;A292))</x:f>
        <x:v>3.6000000000000014</x:v>
      </x:c>
      <x:c r="K292" s="30" t="str">
        <x:f>IF(B292="","",IF(J292&lt;=0,"ESGOTADO",IF(J292&lt;=Config!$H$2,"SALDO CRÍTICO",IF(J292&lt;=Config!$H$3,"SALDO BAIXO","OK"))))</x:f>
        <x:v>OK</x:v>
      </x:c>
      <x:c r="L292" s="34" t="str"/>
      <x:c r="M292" s="30" t="str">
        <x:v>REORGANIZA COM SENTIDO</x:v>
      </x:c>
    </x:row>
    <x:row r="293">
      <x:c r="A293" s="30" t="n">
        <x:v>289</x:v>
      </x:c>
      <x:c r="B293" s="30" t="str">
        <x:v>REORGANIZA COM SENTIDO</x:v>
      </x:c>
      <x:c r="C293" s="32" t="n">
        <x:v>45663</x:v>
      </x:c>
      <x:c r="D293" s="30" t="str">
        <x:v>Intervenção</x:v>
      </x:c>
      <x:c r="E293" s="30" t="str"/>
      <x:c r="F293" s="30" t="str"/>
      <x:c r="G293" s="30" t="str">
        <x:v>AR Ana Fazendeiro</x:v>
      </x:c>
      <x:c r="H293" s="34" t="str"/>
      <x:c r="I293" s="34" t="n">
        <x:v>0.5</x:v>
      </x:c>
      <x:c r="J293" s="34" t="n">
        <x:f>IF(B293="","",SUMIFS($H$5:$H$500,$B$5:$B$500,B293,$A$5:$A$500,"&lt;="&amp;A293)-SUMIFS($I$5:$I$500,$B$5:$B$500,B293,$A$5:$A$500,"&lt;="&amp;A293))</x:f>
        <x:v>3.1000000000000014</x:v>
      </x:c>
      <x:c r="K293" s="30" t="str">
        <x:f>IF(B293="","",IF(J293&lt;=0,"ESGOTADO",IF(J293&lt;=Config!$H$2,"SALDO CRÍTICO",IF(J293&lt;=Config!$H$3,"SALDO BAIXO","OK"))))</x:f>
        <x:v>OK</x:v>
      </x:c>
      <x:c r="L293" s="34" t="str"/>
      <x:c r="M293" s="30" t="str">
        <x:v>REORGANIZA COM SENTIDO</x:v>
      </x:c>
    </x:row>
    <x:row r="294">
      <x:c r="A294" s="30" t="n">
        <x:v>290</x:v>
      </x:c>
      <x:c r="B294" s="30" t="str">
        <x:v>REORGANIZA COM SENTIDO</x:v>
      </x:c>
      <x:c r="C294" s="32" t="n">
        <x:v>45695</x:v>
      </x:c>
      <x:c r="D294" s="30" t="str">
        <x:v>Intervenção</x:v>
      </x:c>
      <x:c r="E294" s="30" t="str"/>
      <x:c r="F294" s="30" t="str"/>
      <x:c r="G294" s="30" t="str">
        <x:v>Config. PC Joao Moreira + Ajuda no Local Miguel Vieira</x:v>
      </x:c>
      <x:c r="H294" s="34" t="str"/>
      <x:c r="I294" s="34" t="n">
        <x:v>2</x:v>
      </x:c>
      <x:c r="J294" s="34" t="n">
        <x:f>IF(B294="","",SUMIFS($H$5:$H$500,$B$5:$B$500,B294,$A$5:$A$500,"&lt;="&amp;A294)-SUMIFS($I$5:$I$500,$B$5:$B$500,B294,$A$5:$A$500,"&lt;="&amp;A294))</x:f>
        <x:v>1.1000000000000014</x:v>
      </x:c>
      <x:c r="K294" s="30" t="str">
        <x:f>IF(B294="","",IF(J294&lt;=0,"ESGOTADO",IF(J294&lt;=Config!$H$2,"SALDO CRÍTICO",IF(J294&lt;=Config!$H$3,"SALDO BAIXO","OK"))))</x:f>
        <x:v>SALDO BAIXO</x:v>
      </x:c>
      <x:c r="L294" s="34" t="str"/>
      <x:c r="M294" s="30" t="str">
        <x:v>REORGANIZA COM SENTIDO</x:v>
      </x:c>
    </x:row>
    <x:row r="295">
      <x:c r="A295" s="30" t="n">
        <x:v>291</x:v>
      </x:c>
      <x:c r="B295" s="30" t="str">
        <x:v>REORGANIZA COM SENTIDO</x:v>
      </x:c>
      <x:c r="C295" s="32" t="n">
        <x:v>45698</x:v>
      </x:c>
      <x:c r="D295" s="30" t="str">
        <x:v>Intervenção</x:v>
      </x:c>
      <x:c r="E295" s="30" t="str"/>
      <x:c r="F295" s="30" t="str"/>
      <x:c r="G295" s="30" t="str">
        <x:v>AR Tiago Almeida email</x:v>
      </x:c>
      <x:c r="H295" s="34" t="str"/>
      <x:c r="I295" s="34" t="n">
        <x:v>0.25</x:v>
      </x:c>
      <x:c r="J295" s="34" t="n">
        <x:f>IF(B295="","",SUMIFS($H$5:$H$500,$B$5:$B$500,B295,$A$5:$A$500,"&lt;="&amp;A295)-SUMIFS($I$5:$I$500,$B$5:$B$500,B295,$A$5:$A$500,"&lt;="&amp;A295))</x:f>
        <x:v>0.8500000000000014</x:v>
      </x:c>
      <x:c r="K295" s="30" t="str">
        <x:f>IF(B295="","",IF(J295&lt;=0,"ESGOTADO",IF(J295&lt;=Config!$H$2,"SALDO CRÍTICO",IF(J295&lt;=Config!$H$3,"SALDO BAIXO","OK"))))</x:f>
        <x:v>SALDO CRÍTICO</x:v>
      </x:c>
      <x:c r="L295" s="34" t="str"/>
      <x:c r="M295" s="30" t="str">
        <x:v>REORGANIZA COM SENTIDO</x:v>
      </x:c>
    </x:row>
    <x:row r="296">
      <x:c r="A296" s="30" t="n">
        <x:v>292</x:v>
      </x:c>
      <x:c r="B296" s="30" t="str">
        <x:v>REORGANIZA COM SENTIDO</x:v>
      </x:c>
      <x:c r="C296" s="32" t="n">
        <x:v>45810</x:v>
      </x:c>
      <x:c r="D296" s="30" t="str">
        <x:v>Intervenção</x:v>
      </x:c>
      <x:c r="E296" s="30" t="str"/>
      <x:c r="F296" s="30" t="str"/>
      <x:c r="G296" s="30" t="str">
        <x:v>ARTiago Almeida VPN</x:v>
      </x:c>
      <x:c r="H296" s="34" t="str"/>
      <x:c r="I296" s="34" t="n">
        <x:v>0.25</x:v>
      </x:c>
      <x:c r="J296" s="34" t="n">
        <x:f>IF(B296="","",SUMIFS($H$5:$H$500,$B$5:$B$500,B296,$A$5:$A$500,"&lt;="&amp;A296)-SUMIFS($I$5:$I$500,$B$5:$B$500,B296,$A$5:$A$500,"&lt;="&amp;A296))</x:f>
        <x:v>0.6000000000000014</x:v>
      </x:c>
      <x:c r="K296" s="30" t="str">
        <x:f>IF(B296="","",IF(J296&lt;=0,"ESGOTADO",IF(J296&lt;=Config!$H$2,"SALDO CRÍTICO",IF(J296&lt;=Config!$H$3,"SALDO BAIXO","OK"))))</x:f>
        <x:v>SALDO CRÍTICO</x:v>
      </x:c>
      <x:c r="L296" s="34" t="str"/>
      <x:c r="M296" s="30" t="str">
        <x:v>REORGANIZA COM SENTIDO</x:v>
      </x:c>
    </x:row>
    <x:row r="297">
      <x:c r="A297" s="30" t="n">
        <x:v>293</x:v>
      </x:c>
      <x:c r="B297" s="30" t="str">
        <x:v>REORGANIZA COM SENTIDO</x:v>
      </x:c>
      <x:c r="C297" s="32"/>
      <x:c r="D297" s="30" t="str">
        <x:v>Intervenção</x:v>
      </x:c>
      <x:c r="E297" s="30" t="str"/>
      <x:c r="F297" s="30" t="str"/>
      <x:c r="G297" s="30" t="str">
        <x:v>AR Carla Pina</x:v>
      </x:c>
      <x:c r="H297" s="34" t="str"/>
      <x:c r="I297" s="34" t="n">
        <x:v>1</x:v>
      </x:c>
      <x:c r="J297" s="34" t="n">
        <x:f>IF(B297="","",SUMIFS($H$5:$H$500,$B$5:$B$500,B297,$A$5:$A$500,"&lt;="&amp;A297)-SUMIFS($I$5:$I$500,$B$5:$B$500,B297,$A$5:$A$500,"&lt;="&amp;A297))</x:f>
        <x:v>-0.3999999999999986</x:v>
      </x:c>
      <x:c r="K297" s="30" t="str">
        <x:f>IF(B297="","",IF(J297&lt;=0,"ESGOTADO",IF(J297&lt;=Config!$H$2,"SALDO CRÍTICO",IF(J297&lt;=Config!$H$3,"SALDO BAIXO","OK"))))</x:f>
        <x:v>ESGOTADO</x:v>
      </x:c>
      <x:c r="L297" s="34" t="str"/>
      <x:c r="M297" s="30" t="str">
        <x:v>REORGANIZA COM SENTIDO</x:v>
      </x:c>
    </x:row>
    <x:row r="298">
      <x:c r="A298" s="30" t="n">
        <x:v>294</x:v>
      </x:c>
      <x:c r="B298" s="30" t="str">
        <x:v>SHAPING FUTURES (Patricia Silve</x:v>
      </x:c>
      <x:c r="C298" s="32" t="n">
        <x:v>44819</x:v>
      </x:c>
      <x:c r="D298" s="30" t="str">
        <x:v>Compra</x:v>
      </x:c>
      <x:c r="E298" s="30" t="str"/>
      <x:c r="F298" s="30" t="str"/>
      <x:c r="G298" s="30" t="str">
        <x:v>Aquisição/Saldo inicial pack (arquivo)</x:v>
      </x:c>
      <x:c r="H298" s="34" t="n">
        <x:v>5</x:v>
      </x:c>
      <x:c r="I298" s="34" t="str"/>
      <x:c r="J298" s="34" t="n">
        <x:f>IF(B298="","",SUMIFS($H$5:$H$500,$B$5:$B$500,B298,$A$5:$A$500,"&lt;="&amp;A298)-SUMIFS($I$5:$I$500,$B$5:$B$500,B298,$A$5:$A$500,"&lt;="&amp;A298))</x:f>
        <x:v>5</x:v>
      </x:c>
      <x:c r="K298" s="30" t="str">
        <x:f>IF(B298="","",IF(J298&lt;=0,"ESGOTADO",IF(J298&lt;=Config!$H$2,"SALDO CRÍTICO",IF(J298&lt;=Config!$H$3,"SALDO BAIXO","OK"))))</x:f>
        <x:v>OK</x:v>
      </x:c>
      <x:c r="L298" s="34" t="str"/>
      <x:c r="M298" s="30" t="str">
        <x:v>SHAPING FUTURES (Patricia Silve</x:v>
      </x:c>
    </x:row>
    <x:row r="299">
      <x:c r="A299" s="30" t="n">
        <x:v>295</x:v>
      </x:c>
      <x:c r="B299" s="30" t="str">
        <x:v>SHAPING FUTURES (Patricia Silve</x:v>
      </x:c>
      <x:c r="C299" s="32" t="n">
        <x:v>44819</x:v>
      </x:c>
      <x:c r="D299" s="30" t="str">
        <x:v>Intervenção</x:v>
      </x:c>
      <x:c r="E299" s="30" t="str"/>
      <x:c r="F299" s="30" t="str"/>
      <x:c r="G299" s="30" t="str">
        <x:v>Intervenção (arquivo)</x:v>
      </x:c>
      <x:c r="H299" s="34" t="str"/>
      <x:c r="I299" s="34" t="n">
        <x:v>1.5</x:v>
      </x:c>
      <x:c r="J299" s="34" t="n">
        <x:f>IF(B299="","",SUMIFS($H$5:$H$500,$B$5:$B$500,B299,$A$5:$A$500,"&lt;="&amp;A299)-SUMIFS($I$5:$I$500,$B$5:$B$500,B299,$A$5:$A$500,"&lt;="&amp;A299))</x:f>
        <x:v>3.5</x:v>
      </x:c>
      <x:c r="K299" s="30" t="str">
        <x:f>IF(B299="","",IF(J299&lt;=0,"ESGOTADO",IF(J299&lt;=Config!$H$2,"SALDO CRÍTICO",IF(J299&lt;=Config!$H$3,"SALDO BAIXO","OK"))))</x:f>
        <x:v>OK</x:v>
      </x:c>
      <x:c r="L299" s="34" t="str"/>
      <x:c r="M299" s="30" t="str">
        <x:v>SHAPING FUTURES (Patricia Silve</x:v>
      </x:c>
    </x:row>
    <x:row r="300">
      <x:c r="A300" s="30" t="n">
        <x:v>296</x:v>
      </x:c>
      <x:c r="B300" s="30" t="str">
        <x:v>SOC. AGRICOLA VALE CAMARINHAS</x:v>
      </x:c>
      <x:c r="C300" s="32" t="n">
        <x:v>45314</x:v>
      </x:c>
      <x:c r="D300" s="30" t="str">
        <x:v>Compra</x:v>
      </x:c>
      <x:c r="E300" s="30" t="str"/>
      <x:c r="F300" s="30" t="str"/>
      <x:c r="G300" s="30" t="str">
        <x:v>Aquisição/Saldo inicial pack (arquivo)</x:v>
      </x:c>
      <x:c r="H300" s="34" t="n">
        <x:v>5</x:v>
      </x:c>
      <x:c r="I300" s="34" t="str"/>
      <x:c r="J300" s="34" t="n">
        <x:f>IF(B300="","",SUMIFS($H$5:$H$500,$B$5:$B$500,B300,$A$5:$A$500,"&lt;="&amp;A300)-SUMIFS($I$5:$I$500,$B$5:$B$500,B300,$A$5:$A$500,"&lt;="&amp;A300))</x:f>
        <x:v>5</x:v>
      </x:c>
      <x:c r="K300" s="30" t="str">
        <x:f>IF(B300="","",IF(J300&lt;=0,"ESGOTADO",IF(J300&lt;=Config!$H$2,"SALDO CRÍTICO",IF(J300&lt;=Config!$H$3,"SALDO BAIXO","OK"))))</x:f>
        <x:v>OK</x:v>
      </x:c>
      <x:c r="L300" s="34" t="str"/>
      <x:c r="M300" s="30" t="str">
        <x:v>Soc. Agricola Vale Camarinhas (</x:v>
      </x:c>
    </x:row>
    <x:row r="301">
      <x:c r="A301" s="30" t="n">
        <x:v>297</x:v>
      </x:c>
      <x:c r="B301" s="30" t="str">
        <x:v>SOC. AGRICOLA VALE CAMARINHAS</x:v>
      </x:c>
      <x:c r="C301" s="32" t="n">
        <x:v>45336</x:v>
      </x:c>
      <x:c r="D301" s="30" t="str">
        <x:v>Intervenção</x:v>
      </x:c>
      <x:c r="E301" s="30" t="str"/>
      <x:c r="F301" s="30" t="str"/>
      <x:c r="G301" s="30" t="str">
        <x:v>Vera: Desapareceram Emails de 2021 e 2022 do Gmail</x:v>
      </x:c>
      <x:c r="H301" s="34" t="str"/>
      <x:c r="I301" s="34" t="n">
        <x:v>0.5</x:v>
      </x:c>
      <x:c r="J301" s="34" t="n">
        <x:f>IF(B301="","",SUMIFS($H$5:$H$500,$B$5:$B$500,B301,$A$5:$A$500,"&lt;="&amp;A301)-SUMIFS($I$5:$I$500,$B$5:$B$500,B301,$A$5:$A$500,"&lt;="&amp;A301))</x:f>
        <x:v>4.5</x:v>
      </x:c>
      <x:c r="K301" s="30" t="str">
        <x:f>IF(B301="","",IF(J301&lt;=0,"ESGOTADO",IF(J301&lt;=Config!$H$2,"SALDO CRÍTICO",IF(J301&lt;=Config!$H$3,"SALDO BAIXO","OK"))))</x:f>
        <x:v>OK</x:v>
      </x:c>
      <x:c r="L301" s="34" t="str"/>
      <x:c r="M301" s="30" t="str">
        <x:v>Soc. Agricola Vale Camarinhas (</x:v>
      </x:c>
    </x:row>
    <x:row r="302">
      <x:c r="A302" s="30" t="n">
        <x:v>298</x:v>
      </x:c>
      <x:c r="B302" s="30" t="str">
        <x:v>SOC. AGRICOLA VALE CAMARINHAS</x:v>
      </x:c>
      <x:c r="C302" s="32" t="n">
        <x:v>45684</x:v>
      </x:c>
      <x:c r="D302" s="30" t="str">
        <x:v>Intervenção</x:v>
      </x:c>
      <x:c r="E302" s="30" t="str"/>
      <x:c r="F302" s="30" t="str"/>
      <x:c r="G302" s="30" t="str">
        <x:v>Configuracao email geral Vera Posser</x:v>
      </x:c>
      <x:c r="H302" s="34" t="str"/>
      <x:c r="I302" s="34" t="n">
        <x:v>0.5</x:v>
      </x:c>
      <x:c r="J302" s="34" t="n">
        <x:f>IF(B302="","",SUMIFS($H$5:$H$500,$B$5:$B$500,B302,$A$5:$A$500,"&lt;="&amp;A302)-SUMIFS($I$5:$I$500,$B$5:$B$500,B302,$A$5:$A$500,"&lt;="&amp;A302))</x:f>
        <x:v>4</x:v>
      </x:c>
      <x:c r="K302" s="30" t="str">
        <x:f>IF(B302="","",IF(J302&lt;=0,"ESGOTADO",IF(J302&lt;=Config!$H$2,"SALDO CRÍTICO",IF(J302&lt;=Config!$H$3,"SALDO BAIXO","OK"))))</x:f>
        <x:v>OK</x:v>
      </x:c>
      <x:c r="L302" s="34" t="str"/>
      <x:c r="M302" s="30" t="str">
        <x:v>Soc. Agricola Vale Camarinhas (</x:v>
      </x:c>
    </x:row>
    <x:row r="303">
      <x:c r="A303" s="30" t="n">
        <x:v>299</x:v>
      </x:c>
      <x:c r="B303" s="30" t="str">
        <x:v>SOC. AGRICOLA VALE CAMARINHAS</x:v>
      </x:c>
      <x:c r="C303" s="32" t="n">
        <x:v>45706</x:v>
      </x:c>
      <x:c r="D303" s="30" t="str">
        <x:v>Intervenção</x:v>
      </x:c>
      <x:c r="E303" s="30" t="str"/>
      <x:c r="F303" s="30" t="str"/>
      <x:c r="G303" s="30" t="str">
        <x:v>AR LL Google Photos</x:v>
      </x:c>
      <x:c r="H303" s="34" t="str"/>
      <x:c r="I303" s="34" t="n">
        <x:v>0.5</x:v>
      </x:c>
      <x:c r="J303" s="34" t="n">
        <x:f>IF(B303="","",SUMIFS($H$5:$H$500,$B$5:$B$500,B303,$A$5:$A$500,"&lt;="&amp;A303)-SUMIFS($I$5:$I$500,$B$5:$B$500,B303,$A$5:$A$500,"&lt;="&amp;A303))</x:f>
        <x:v>3.5</x:v>
      </x:c>
      <x:c r="K303" s="30" t="str">
        <x:f>IF(B303="","",IF(J303&lt;=0,"ESGOTADO",IF(J303&lt;=Config!$H$2,"SALDO CRÍTICO",IF(J303&lt;=Config!$H$3,"SALDO BAIXO","OK"))))</x:f>
        <x:v>OK</x:v>
      </x:c>
      <x:c r="L303" s="34" t="str"/>
      <x:c r="M303" s="30" t="str">
        <x:v>Soc. Agricola Vale Camarinhas (</x:v>
      </x:c>
    </x:row>
    <x:row r="304">
      <x:c r="A304" s="30" t="n">
        <x:v>300</x:v>
      </x:c>
      <x:c r="B304" s="30" t="str">
        <x:v>SOC. AGRICOLA VALE CAMARINHAS</x:v>
      </x:c>
      <x:c r="C304" s="32" t="n">
        <x:v>45761</x:v>
      </x:c>
      <x:c r="D304" s="30" t="str">
        <x:v>Intervenção</x:v>
      </x:c>
      <x:c r="E304" s="30" t="str"/>
      <x:c r="F304" s="30" t="str"/>
      <x:c r="G304" s="30" t="str">
        <x:v>LL ajuda com email Vera Posser e Scan Antivirus para Banco</x:v>
      </x:c>
      <x:c r="H304" s="34" t="str"/>
      <x:c r="I304" s="34" t="n">
        <x:v>0.5</x:v>
      </x:c>
      <x:c r="J304" s="34" t="n">
        <x:f>IF(B304="","",SUMIFS($H$5:$H$500,$B$5:$B$500,B304,$A$5:$A$500,"&lt;="&amp;A304)-SUMIFS($I$5:$I$500,$B$5:$B$500,B304,$A$5:$A$500,"&lt;="&amp;A304))</x:f>
        <x:v>3</x:v>
      </x:c>
      <x:c r="K304" s="30" t="str">
        <x:f>IF(B304="","",IF(J304&lt;=0,"ESGOTADO",IF(J304&lt;=Config!$H$2,"SALDO CRÍTICO",IF(J304&lt;=Config!$H$3,"SALDO BAIXO","OK"))))</x:f>
        <x:v>OK</x:v>
      </x:c>
      <x:c r="L304" s="34" t="str"/>
      <x:c r="M304" s="30" t="str">
        <x:v>Soc. Agricola Vale Camarinhas (</x:v>
      </x:c>
    </x:row>
    <x:row r="305">
      <x:c r="A305" s="30" t="n">
        <x:v>301</x:v>
      </x:c>
      <x:c r="B305" s="30" t="str">
        <x:v>SOC. AGRICOLA VALE CAMARINHAS</x:v>
      </x:c>
      <x:c r="C305" s="32" t="n">
        <x:v>45863</x:v>
      </x:c>
      <x:c r="D305" s="30" t="str">
        <x:v>Intervenção</x:v>
      </x:c>
      <x:c r="E305" s="30" t="str"/>
      <x:c r="F305" s="30" t="str"/>
      <x:c r="G305" s="30" t="str">
        <x:v>MC ajudou a Vera com email no tlm e no dia a seguir ajudou com PC</x:v>
      </x:c>
      <x:c r="H305" s="34" t="str"/>
      <x:c r="I305" s="34" t="n">
        <x:v>0.5</x:v>
      </x:c>
      <x:c r="J305" s="34" t="n">
        <x:f>IF(B305="","",SUMIFS($H$5:$H$500,$B$5:$B$500,B305,$A$5:$A$500,"&lt;="&amp;A305)-SUMIFS($I$5:$I$500,$B$5:$B$500,B305,$A$5:$A$500,"&lt;="&amp;A305))</x:f>
        <x:v>2.5</x:v>
      </x:c>
      <x:c r="K305" s="30" t="str">
        <x:f>IF(B305="","",IF(J305&lt;=0,"ESGOTADO",IF(J305&lt;=Config!$H$2,"SALDO CRÍTICO",IF(J305&lt;=Config!$H$3,"SALDO BAIXO","OK"))))</x:f>
        <x:v>OK</x:v>
      </x:c>
      <x:c r="L305" s="34" t="str"/>
      <x:c r="M305" s="30" t="str">
        <x:v>Soc. Agricola Vale Camarinhas (</x:v>
      </x:c>
    </x:row>
    <x:row r="306">
      <x:c r="A306" s="30" t="n">
        <x:v>302</x:v>
      </x:c>
      <x:c r="B306" s="30" t="str">
        <x:v>SOC. AGRICOLA VALE CAMARINHAS</x:v>
      </x:c>
      <x:c r="C306" s="32" t="n">
        <x:v>45866</x:v>
      </x:c>
      <x:c r="D306" s="30" t="str">
        <x:v>Intervenção</x:v>
      </x:c>
      <x:c r="E306" s="30" t="str"/>
      <x:c r="F306" s="30" t="str"/>
      <x:c r="G306" s="30" t="str">
        <x:v>LL ajudou Antonio com portatil HP antigo quando estava na comporta</x:v>
      </x:c>
      <x:c r="H306" s="34" t="str"/>
      <x:c r="I306" s="34" t="n">
        <x:v>0.5</x:v>
      </x:c>
      <x:c r="J306" s="34" t="n">
        <x:f>IF(B306="","",SUMIFS($H$5:$H$500,$B$5:$B$500,B306,$A$5:$A$500,"&lt;="&amp;A306)-SUMIFS($I$5:$I$500,$B$5:$B$500,B306,$A$5:$A$500,"&lt;="&amp;A306))</x:f>
        <x:v>2</x:v>
      </x:c>
      <x:c r="K306" s="30" t="str">
        <x:f>IF(B306="","",IF(J306&lt;=0,"ESGOTADO",IF(J306&lt;=Config!$H$2,"SALDO CRÍTICO",IF(J306&lt;=Config!$H$3,"SALDO BAIXO","OK"))))</x:f>
        <x:v>SALDO BAIXO</x:v>
      </x:c>
      <x:c r="L306" s="34" t="str"/>
      <x:c r="M306" s="30" t="str">
        <x:v>Soc. Agricola Vale Camarinhas (</x:v>
      </x:c>
    </x:row>
    <x:row r="307">
      <x:c r="A307" s="30" t="n">
        <x:v>303</x:v>
      </x:c>
      <x:c r="B307" s="30" t="str">
        <x:v>SOC. AGRICOLA VALE CAMARINHAS</x:v>
      </x:c>
      <x:c r="C307" s="32" t="n">
        <x:v>46001</x:v>
      </x:c>
      <x:c r="D307" s="30" t="str">
        <x:v>Intervenção</x:v>
      </x:c>
      <x:c r="E307" s="30" t="str"/>
      <x:c r="F307" s="30" t="str"/>
      <x:c r="G307" s="30" t="str">
        <x:v>LL verificacao computador Vera por causa de virus com Banco</x:v>
      </x:c>
      <x:c r="H307" s="34" t="str"/>
      <x:c r="I307" s="34" t="n">
        <x:v>1</x:v>
      </x:c>
      <x:c r="J307" s="34" t="n">
        <x:f>IF(B307="","",SUMIFS($H$5:$H$500,$B$5:$B$500,B307,$A$5:$A$500,"&lt;="&amp;A307)-SUMIFS($I$5:$I$500,$B$5:$B$500,B307,$A$5:$A$500,"&lt;="&amp;A307))</x:f>
        <x:v>1</x:v>
      </x:c>
      <x:c r="K307" s="30" t="str">
        <x:f>IF(B307="","",IF(J307&lt;=0,"ESGOTADO",IF(J307&lt;=Config!$H$2,"SALDO CRÍTICO",IF(J307&lt;=Config!$H$3,"SALDO BAIXO","OK"))))</x:f>
        <x:v>SALDO CRÍTICO</x:v>
      </x:c>
      <x:c r="L307" s="34" t="str"/>
      <x:c r="M307" s="30" t="str">
        <x:v>Soc. Agricola Vale Camarinhas (</x:v>
      </x:c>
    </x:row>
    <x:row r="308">
      <x:c r="A308" s="30" t="n">
        <x:v>304</x:v>
      </x:c>
      <x:c r="B308" s="30" t="str">
        <x:v>SOC. AGRICOLA VALE CAMARINHAS</x:v>
      </x:c>
      <x:c r="C308" s="32" t="n">
        <x:v>46003</x:v>
      </x:c>
      <x:c r="D308" s="30" t="str">
        <x:v>Compra</x:v>
      </x:c>
      <x:c r="E308" s="30" t="str"/>
      <x:c r="F308" s="30" t="str"/>
      <x:c r="G308" s="30" t="str">
        <x:v>Aquisição Pack 5 Horas</x:v>
      </x:c>
      <x:c r="H308" s="34" t="n">
        <x:v>5</x:v>
      </x:c>
      <x:c r="I308" s="34" t="str"/>
      <x:c r="J308" s="34" t="n">
        <x:f>IF(B308="","",SUMIFS($H$5:$H$500,$B$5:$B$500,B308,$A$5:$A$500,"&lt;="&amp;A308)-SUMIFS($I$5:$I$500,$B$5:$B$500,B308,$A$5:$A$500,"&lt;="&amp;A308))</x:f>
        <x:v>6</x:v>
      </x:c>
      <x:c r="K308" s="30" t="str">
        <x:f>IF(B308="","",IF(J308&lt;=0,"ESGOTADO",IF(J308&lt;=Config!$H$2,"SALDO CRÍTICO",IF(J308&lt;=Config!$H$3,"SALDO BAIXO","OK"))))</x:f>
        <x:v>OK</x:v>
      </x:c>
      <x:c r="L308" s="34" t="n">
        <x:v>5</x:v>
      </x:c>
      <x:c r="M308" s="30" t="str">
        <x:v>Soc. Agricola Vale Camarinhas (</x:v>
      </x:c>
    </x:row>
    <x:row r="309">
      <x:c r="A309" s="30" t="n">
        <x:v>305</x:v>
      </x:c>
      <x:c r="B309" s="30" t="str">
        <x:v>SOC. AGRICOLA VALE CAMARINHAS</x:v>
      </x:c>
      <x:c r="C309" s="32" t="n">
        <x:v>46044</x:v>
      </x:c>
      <x:c r="D309" s="30" t="str">
        <x:v>Intervenção</x:v>
      </x:c>
      <x:c r="E309" s="30" t="str">
        <x:v>Vera Posser de Andrade</x:v>
      </x:c>
      <x:c r="F309" s="30" t="str">
        <x:v>Luis Lopes</x:v>
      </x:c>
      <x:c r="G309" s="30" t="str">
        <x:v>Ajudar Vera com documentos VIA CTT e fotos a abrir com o Paint</x:v>
      </x:c>
      <x:c r="H309" s="34" t="str"/>
      <x:c r="I309" s="34" t="n">
        <x:v>0.5</x:v>
      </x:c>
      <x:c r="J309" s="34" t="n">
        <x:f>IF(B309="","",SUMIFS($H$5:$H$500,$B$5:$B$500,B309,$A$5:$A$500,"&lt;="&amp;A309)-SUMIFS($I$5:$I$500,$B$5:$B$500,B309,$A$5:$A$500,"&lt;="&amp;A309))</x:f>
        <x:v>5.5</x:v>
      </x:c>
      <x:c r="K309" s="30" t="str">
        <x:f>IF(B309="","",IF(J309&lt;=0,"ESGOTADO",IF(J309&lt;=Config!$H$2,"SALDO CRÍTICO",IF(J309&lt;=Config!$H$3,"SALDO BAIXO","OK"))))</x:f>
        <x:v>OK</x:v>
      </x:c>
      <x:c r="L309" s="34" t="n">
        <x:v>4.5</x:v>
      </x:c>
      <x:c r="M309" s="30" t="str">
        <x:v>Soc. Agricola Vale Camarinhas (</x:v>
      </x:c>
    </x:row>
    <x:row r="310">
      <x:c r="A310" s="30" t="n">
        <x:v>306</x:v>
      </x:c>
      <x:c r="B310" s="30" t="str">
        <x:v>SOC. AGRICOLA VALE CAMARINHAS</x:v>
      </x:c>
      <x:c r="C310" s="32"/>
      <x:c r="D310" s="30" t="str">
        <x:v>Intervenção</x:v>
      </x:c>
      <x:c r="E310" s="30" t="str"/>
      <x:c r="F310" s="30" t="str"/>
      <x:c r="G310" s="30" t="str">
        <x:v>MC ajuda com Google Photos</x:v>
      </x:c>
      <x:c r="H310" s="34" t="str"/>
      <x:c r="I310" s="34" t="n">
        <x:v>1</x:v>
      </x:c>
      <x:c r="J310" s="34" t="n">
        <x:f>IF(B310="","",SUMIFS($H$5:$H$500,$B$5:$B$500,B310,$A$5:$A$500,"&lt;="&amp;A310)-SUMIFS($I$5:$I$500,$B$5:$B$500,B310,$A$5:$A$500,"&lt;="&amp;A310))</x:f>
        <x:v>4.5</x:v>
      </x:c>
      <x:c r="K310" s="30" t="str">
        <x:f>IF(B310="","",IF(J310&lt;=0,"ESGOTADO",IF(J310&lt;=Config!$H$2,"SALDO CRÍTICO",IF(J310&lt;=Config!$H$3,"SALDO BAIXO","OK"))))</x:f>
        <x:v>OK</x:v>
      </x:c>
      <x:c r="L310" s="34" t="str"/>
      <x:c r="M310" s="30" t="str">
        <x:v>Soc. Agricola Vale Camarinhas (</x:v>
      </x:c>
    </x:row>
    <x:row r="311">
      <x:c r="A311" s="30" t="n">
        <x:v>307</x:v>
      </x:c>
      <x:c r="B311" s="30" t="str">
        <x:v>SOSTATE</x:v>
      </x:c>
      <x:c r="C311" s="32" t="n">
        <x:v>45722</x:v>
      </x:c>
      <x:c r="D311" s="30" t="str">
        <x:v>Compra</x:v>
      </x:c>
      <x:c r="E311" s="30" t="str"/>
      <x:c r="F311" s="30" t="str"/>
      <x:c r="G311" s="30" t="str">
        <x:v>Aquisição Pack 5 Horas</x:v>
      </x:c>
      <x:c r="H311" s="34" t="n">
        <x:v>5</x:v>
      </x:c>
      <x:c r="I311" s="34" t="str"/>
      <x:c r="J311" s="34" t="n">
        <x:f>IF(B311="","",SUMIFS($H$5:$H$500,$B$5:$B$500,B311,$A$5:$A$500,"&lt;="&amp;A311)-SUMIFS($I$5:$I$500,$B$5:$B$500,B311,$A$5:$A$500,"&lt;="&amp;A311))</x:f>
        <x:v>5</x:v>
      </x:c>
      <x:c r="K311" s="30" t="str">
        <x:f>IF(B311="","",IF(J311&lt;=0,"ESGOTADO",IF(J311&lt;=Config!$H$2,"SALDO CRÍTICO",IF(J311&lt;=Config!$H$3,"SALDO BAIXO","OK"))))</x:f>
        <x:v>OK</x:v>
      </x:c>
      <x:c r="L311" s="34" t="n">
        <x:v>5</x:v>
      </x:c>
      <x:c r="M311" s="30" t="str">
        <x:v>SOSTATE</x:v>
      </x:c>
    </x:row>
    <x:row r="312">
      <x:c r="A312" s="30" t="n">
        <x:v>308</x:v>
      </x:c>
      <x:c r="B312" s="30" t="str">
        <x:v>SOSTATE</x:v>
      </x:c>
      <x:c r="C312" s="32" t="n">
        <x:v>45722</x:v>
      </x:c>
      <x:c r="D312" s="30" t="str">
        <x:v>Intervenção</x:v>
      </x:c>
      <x:c r="E312" s="30" t="str">
        <x:v>SOSTATE</x:v>
      </x:c>
      <x:c r="F312" s="30" t="str">
        <x:v>ClickStop</x:v>
      </x:c>
      <x:c r="G312" s="30" t="str">
        <x:v>Configigurar Pastas GREATFLAGS</x:v>
      </x:c>
      <x:c r="H312" s="34" t="str"/>
      <x:c r="I312" s="34" t="n">
        <x:v>1</x:v>
      </x:c>
      <x:c r="J312" s="34" t="n">
        <x:f>IF(B312="","",SUMIFS($H$5:$H$500,$B$5:$B$500,B312,$A$5:$A$500,"&lt;="&amp;A312)-SUMIFS($I$5:$I$500,$B$5:$B$500,B312,$A$5:$A$500,"&lt;="&amp;A312))</x:f>
        <x:v>4</x:v>
      </x:c>
      <x:c r="K312" s="30" t="str">
        <x:f>IF(B312="","",IF(J312&lt;=0,"ESGOTADO",IF(J312&lt;=Config!$H$2,"SALDO CRÍTICO",IF(J312&lt;=Config!$H$3,"SALDO BAIXO","OK"))))</x:f>
        <x:v>OK</x:v>
      </x:c>
      <x:c r="L312" s="34" t="n">
        <x:v>4</x:v>
      </x:c>
      <x:c r="M312" s="30" t="str">
        <x:v>SOSTATE</x:v>
      </x:c>
    </x:row>
    <x:row r="313">
      <x:c r="A313" s="30" t="n">
        <x:v>309</x:v>
      </x:c>
      <x:c r="B313" s="30" t="str">
        <x:v>SOSTATE</x:v>
      </x:c>
      <x:c r="C313" s="32" t="n">
        <x:v>45982</x:v>
      </x:c>
      <x:c r="D313" s="30" t="str">
        <x:v>Intervenção</x:v>
      </x:c>
      <x:c r="E313" s="30" t="str">
        <x:v>SOSTATE</x:v>
      </x:c>
      <x:c r="F313" s="30" t="str">
        <x:v>ClickStop</x:v>
      </x:c>
      <x:c r="G313" s="30" t="str">
        <x:v>Sonia - Preparacao Router 4GB para Display Eden</x:v>
      </x:c>
      <x:c r="H313" s="34" t="str"/>
      <x:c r="I313" s="34" t="n">
        <x:v>2.5</x:v>
      </x:c>
      <x:c r="J313" s="34" t="n">
        <x:f>IF(B313="","",SUMIFS($H$5:$H$500,$B$5:$B$500,B313,$A$5:$A$500,"&lt;="&amp;A313)-SUMIFS($I$5:$I$500,$B$5:$B$500,B313,$A$5:$A$500,"&lt;="&amp;A313))</x:f>
        <x:v>1.5</x:v>
      </x:c>
      <x:c r="K313" s="30" t="str">
        <x:f>IF(B313="","",IF(J313&lt;=0,"ESGOTADO",IF(J313&lt;=Config!$H$2,"SALDO CRÍTICO",IF(J313&lt;=Config!$H$3,"SALDO BAIXO","OK"))))</x:f>
        <x:v>SALDO BAIXO</x:v>
      </x:c>
      <x:c r="L313" s="34" t="n">
        <x:v>1.5</x:v>
      </x:c>
      <x:c r="M313" s="30" t="str">
        <x:v>SOSTATE</x:v>
      </x:c>
    </x:row>
    <x:row r="314">
      <x:c r="A314" s="30" t="n">
        <x:v>310</x:v>
      </x:c>
      <x:c r="B314" s="30" t="str">
        <x:v>SOSTATE</x:v>
      </x:c>
      <x:c r="C314" s="32" t="n">
        <x:v>46010</x:v>
      </x:c>
      <x:c r="D314" s="30" t="str">
        <x:v>Intervenção</x:v>
      </x:c>
      <x:c r="E314" s="30" t="str">
        <x:v>SOSTATE</x:v>
      </x:c>
      <x:c r="F314" s="30" t="str">
        <x:v>ClickStop</x:v>
      </x:c>
      <x:c r="G314" s="30" t="str">
        <x:v>Intervenção Email Diogo Vilela (Espaço Ocupado Alojamento)</x:v>
      </x:c>
      <x:c r="H314" s="34" t="str"/>
      <x:c r="I314" s="34" t="n">
        <x:v>0.25</x:v>
      </x:c>
      <x:c r="J314" s="34" t="n">
        <x:f>IF(B314="","",SUMIFS($H$5:$H$500,$B$5:$B$500,B314,$A$5:$A$500,"&lt;="&amp;A314)-SUMIFS($I$5:$I$500,$B$5:$B$500,B314,$A$5:$A$500,"&lt;="&amp;A314))</x:f>
        <x:v>1.25</x:v>
      </x:c>
      <x:c r="K314" s="30" t="str">
        <x:f>IF(B314="","",IF(J314&lt;=0,"ESGOTADO",IF(J314&lt;=Config!$H$2,"SALDO CRÍTICO",IF(J314&lt;=Config!$H$3,"SALDO BAIXO","OK"))))</x:f>
        <x:v>SALDO BAIXO</x:v>
      </x:c>
      <x:c r="L314" s="34" t="n">
        <x:v>1.25</x:v>
      </x:c>
      <x:c r="M314" s="30" t="str">
        <x:v>SOSTATE</x:v>
      </x:c>
    </x:row>
    <x:row r="315">
      <x:c r="A315" s="30" t="n">
        <x:v>311</x:v>
      </x:c>
      <x:c r="B315" s="30" t="str">
        <x:v>SOSTATE</x:v>
      </x:c>
      <x:c r="C315" s="32" t="n">
        <x:v>46048</x:v>
      </x:c>
      <x:c r="D315" s="30" t="str">
        <x:v>Intervenção</x:v>
      </x:c>
      <x:c r="E315" s="30" t="str">
        <x:v>SOSTATE</x:v>
      </x:c>
      <x:c r="F315" s="30" t="str">
        <x:v>ClickStop</x:v>
      </x:c>
      <x:c r="G315" s="30" t="str">
        <x:v>Backup e Eliminação do Email da Paula Martins</x:v>
      </x:c>
      <x:c r="H315" s="34" t="str"/>
      <x:c r="I315" s="34" t="n">
        <x:v>0.25</x:v>
      </x:c>
      <x:c r="J315" s="34" t="n">
        <x:f>IF(B315="","",SUMIFS($H$5:$H$500,$B$5:$B$500,B315,$A$5:$A$500,"&lt;="&amp;A315)-SUMIFS($I$5:$I$500,$B$5:$B$500,B315,$A$5:$A$500,"&lt;="&amp;A315))</x:f>
        <x:v>1</x:v>
      </x:c>
      <x:c r="K315" s="30" t="str">
        <x:f>IF(B315="","",IF(J315&lt;=0,"ESGOTADO",IF(J315&lt;=Config!$H$2,"SALDO CRÍTICO",IF(J315&lt;=Config!$H$3,"SALDO BAIXO","OK"))))</x:f>
        <x:v>SALDO CRÍTICO</x:v>
      </x:c>
      <x:c r="L315" s="34" t="n">
        <x:v>1</x:v>
      </x:c>
      <x:c r="M315" s="30" t="str">
        <x:v>SOSTATE</x:v>
      </x:c>
    </x:row>
    <x:row r="316">
      <x:c r="A316" s="30" t="str">
        <x:f>IF(B316="","",MAX($A$5:A315)+1)</x:f>
      </x:c>
      <x:c r="B316" s="30"/>
      <x:c r="C316" s="32"/>
      <x:c r="D316" s="30"/>
      <x:c r="E316" s="30"/>
      <x:c r="F316" s="30"/>
      <x:c r="G316" s="30"/>
      <x:c r="H316" s="34"/>
      <x:c r="I316" s="34"/>
      <x:c r="J316" s="34" t="str">
        <x:f>IF(B316="","",SUMIFS($H$5:$H$500,$B$5:$B$500,B316,$A$5:$A$500,"&lt;="&amp;A316)-SUMIFS($I$5:$I$500,$B$5:$B$500,B316,$A$5:$A$500,"&lt;="&amp;A316))</x:f>
      </x:c>
      <x:c r="K316" s="30" t="str">
        <x:f>IF(B316="","",IF(J316&lt;=0,"ESGOTADO",IF(J316&lt;=Config!$H$2,"SALDO CRÍTICO",IF(J316&lt;=Config!$H$3,"SALDO BAIXO","OK"))))</x:f>
      </x:c>
      <x:c r="L316" s="34"/>
      <x:c r="M316" s="30"/>
    </x:row>
    <x:row r="317">
      <x:c r="A317" s="30" t="str">
        <x:f>IF(B317="","",MAX($A$5:A316)+1)</x:f>
      </x:c>
      <x:c r="B317" s="30"/>
      <x:c r="C317" s="32"/>
      <x:c r="D317" s="30"/>
      <x:c r="E317" s="30"/>
      <x:c r="F317" s="30"/>
      <x:c r="G317" s="30"/>
      <x:c r="H317" s="34"/>
      <x:c r="I317" s="34"/>
      <x:c r="J317" s="34" t="str">
        <x:f>IF(B317="","",SUMIFS($H$5:$H$500,$B$5:$B$500,B317,$A$5:$A$500,"&lt;="&amp;A317)-SUMIFS($I$5:$I$500,$B$5:$B$500,B317,$A$5:$A$500,"&lt;="&amp;A317))</x:f>
      </x:c>
      <x:c r="K317" s="30" t="str">
        <x:f>IF(B317="","",IF(J317&lt;=0,"ESGOTADO",IF(J317&lt;=Config!$H$2,"SALDO CRÍTICO",IF(J317&lt;=Config!$H$3,"SALDO BAIXO","OK"))))</x:f>
      </x:c>
      <x:c r="L317" s="34"/>
      <x:c r="M317" s="30"/>
    </x:row>
    <x:row r="318">
      <x:c r="A318" s="30" t="str">
        <x:f>IF(B318="","",MAX($A$5:A317)+1)</x:f>
      </x:c>
      <x:c r="B318" s="30"/>
      <x:c r="C318" s="32"/>
      <x:c r="D318" s="30"/>
      <x:c r="E318" s="30"/>
      <x:c r="F318" s="30"/>
      <x:c r="G318" s="30"/>
      <x:c r="H318" s="34"/>
      <x:c r="I318" s="34"/>
      <x:c r="J318" s="34" t="str">
        <x:f>IF(B318="","",SUMIFS($H$5:$H$500,$B$5:$B$500,B318,$A$5:$A$500,"&lt;="&amp;A318)-SUMIFS($I$5:$I$500,$B$5:$B$500,B318,$A$5:$A$500,"&lt;="&amp;A318))</x:f>
      </x:c>
      <x:c r="K318" s="30" t="str">
        <x:f>IF(B318="","",IF(J318&lt;=0,"ESGOTADO",IF(J318&lt;=Config!$H$2,"SALDO CRÍTICO",IF(J318&lt;=Config!$H$3,"SALDO BAIXO","OK"))))</x:f>
      </x:c>
      <x:c r="L318" s="34"/>
      <x:c r="M318" s="30"/>
    </x:row>
    <x:row r="319">
      <x:c r="A319" s="30" t="str">
        <x:f>IF(B319="","",MAX($A$5:A318)+1)</x:f>
      </x:c>
      <x:c r="B319" s="30"/>
      <x:c r="C319" s="32"/>
      <x:c r="D319" s="30"/>
      <x:c r="E319" s="30"/>
      <x:c r="F319" s="30"/>
      <x:c r="G319" s="30"/>
      <x:c r="H319" s="34"/>
      <x:c r="I319" s="34"/>
      <x:c r="J319" s="34" t="str">
        <x:f>IF(B319="","",SUMIFS($H$5:$H$500,$B$5:$B$500,B319,$A$5:$A$500,"&lt;="&amp;A319)-SUMIFS($I$5:$I$500,$B$5:$B$500,B319,$A$5:$A$500,"&lt;="&amp;A319))</x:f>
      </x:c>
      <x:c r="K319" s="30" t="str">
        <x:f>IF(B319="","",IF(J319&lt;=0,"ESGOTADO",IF(J319&lt;=Config!$H$2,"SALDO CRÍTICO",IF(J319&lt;=Config!$H$3,"SALDO BAIXO","OK"))))</x:f>
      </x:c>
      <x:c r="L319" s="34"/>
      <x:c r="M319" s="30"/>
    </x:row>
    <x:row r="320">
      <x:c r="A320" s="30" t="str">
        <x:f>IF(B320="","",MAX($A$5:A319)+1)</x:f>
      </x:c>
      <x:c r="B320" s="30"/>
      <x:c r="C320" s="32"/>
      <x:c r="D320" s="30"/>
      <x:c r="E320" s="30"/>
      <x:c r="F320" s="30"/>
      <x:c r="G320" s="30"/>
      <x:c r="H320" s="34"/>
      <x:c r="I320" s="34"/>
      <x:c r="J320" s="34" t="str">
        <x:f>IF(B320="","",SUMIFS($H$5:$H$500,$B$5:$B$500,B320,$A$5:$A$500,"&lt;="&amp;A320)-SUMIFS($I$5:$I$500,$B$5:$B$500,B320,$A$5:$A$500,"&lt;="&amp;A320))</x:f>
      </x:c>
      <x:c r="K320" s="30" t="str">
        <x:f>IF(B320="","",IF(J320&lt;=0,"ESGOTADO",IF(J320&lt;=Config!$H$2,"SALDO CRÍTICO",IF(J320&lt;=Config!$H$3,"SALDO BAIXO","OK"))))</x:f>
      </x:c>
      <x:c r="L320" s="34"/>
      <x:c r="M320" s="30"/>
    </x:row>
    <x:row r="321">
      <x:c r="A321" s="30" t="str">
        <x:f>IF(B321="","",MAX($A$5:A320)+1)</x:f>
      </x:c>
      <x:c r="B321" s="30"/>
      <x:c r="C321" s="32"/>
      <x:c r="D321" s="30"/>
      <x:c r="E321" s="30"/>
      <x:c r="F321" s="30"/>
      <x:c r="G321" s="30"/>
      <x:c r="H321" s="34"/>
      <x:c r="I321" s="34"/>
      <x:c r="J321" s="34" t="str">
        <x:f>IF(B321="","",SUMIFS($H$5:$H$500,$B$5:$B$500,B321,$A$5:$A$500,"&lt;="&amp;A321)-SUMIFS($I$5:$I$500,$B$5:$B$500,B321,$A$5:$A$500,"&lt;="&amp;A321))</x:f>
      </x:c>
      <x:c r="K321" s="30" t="str">
        <x:f>IF(B321="","",IF(J321&lt;=0,"ESGOTADO",IF(J321&lt;=Config!$H$2,"SALDO CRÍTICO",IF(J321&lt;=Config!$H$3,"SALDO BAIXO","OK"))))</x:f>
      </x:c>
      <x:c r="L321" s="34"/>
      <x:c r="M321" s="30"/>
    </x:row>
    <x:row r="322">
      <x:c r="A322" s="30" t="str">
        <x:f>IF(B322="","",MAX($A$5:A321)+1)</x:f>
      </x:c>
      <x:c r="B322" s="30"/>
      <x:c r="C322" s="32"/>
      <x:c r="D322" s="30"/>
      <x:c r="E322" s="30"/>
      <x:c r="F322" s="30"/>
      <x:c r="G322" s="30"/>
      <x:c r="H322" s="34"/>
      <x:c r="I322" s="34"/>
      <x:c r="J322" s="34" t="str">
        <x:f>IF(B322="","",SUMIFS($H$5:$H$500,$B$5:$B$500,B322,$A$5:$A$500,"&lt;="&amp;A322)-SUMIFS($I$5:$I$500,$B$5:$B$500,B322,$A$5:$A$500,"&lt;="&amp;A322))</x:f>
      </x:c>
      <x:c r="K322" s="30" t="str">
        <x:f>IF(B322="","",IF(J322&lt;=0,"ESGOTADO",IF(J322&lt;=Config!$H$2,"SALDO CRÍTICO",IF(J322&lt;=Config!$H$3,"SALDO BAIXO","OK"))))</x:f>
      </x:c>
      <x:c r="L322" s="34"/>
      <x:c r="M322" s="30"/>
    </x:row>
    <x:row r="323">
      <x:c r="A323" s="30" t="str">
        <x:f>IF(B323="","",MAX($A$5:A322)+1)</x:f>
      </x:c>
      <x:c r="B323" s="30"/>
      <x:c r="C323" s="32"/>
      <x:c r="D323" s="30"/>
      <x:c r="E323" s="30"/>
      <x:c r="F323" s="30"/>
      <x:c r="G323" s="30"/>
      <x:c r="H323" s="34"/>
      <x:c r="I323" s="34"/>
      <x:c r="J323" s="34" t="str">
        <x:f>IF(B323="","",SUMIFS($H$5:$H$500,$B$5:$B$500,B323,$A$5:$A$500,"&lt;="&amp;A323)-SUMIFS($I$5:$I$500,$B$5:$B$500,B323,$A$5:$A$500,"&lt;="&amp;A323))</x:f>
      </x:c>
      <x:c r="K323" s="30" t="str">
        <x:f>IF(B323="","",IF(J323&lt;=0,"ESGOTADO",IF(J323&lt;=Config!$H$2,"SALDO CRÍTICO",IF(J323&lt;=Config!$H$3,"SALDO BAIXO","OK"))))</x:f>
      </x:c>
      <x:c r="L323" s="34"/>
      <x:c r="M323" s="30"/>
    </x:row>
    <x:row r="324">
      <x:c r="A324" s="30" t="str">
        <x:f>IF(B324="","",MAX($A$5:A323)+1)</x:f>
      </x:c>
      <x:c r="B324" s="30"/>
      <x:c r="C324" s="32"/>
      <x:c r="D324" s="30"/>
      <x:c r="E324" s="30"/>
      <x:c r="F324" s="30"/>
      <x:c r="G324" s="30"/>
      <x:c r="H324" s="34"/>
      <x:c r="I324" s="34"/>
      <x:c r="J324" s="34" t="str">
        <x:f>IF(B324="","",SUMIFS($H$5:$H$500,$B$5:$B$500,B324,$A$5:$A$500,"&lt;="&amp;A324)-SUMIFS($I$5:$I$500,$B$5:$B$500,B324,$A$5:$A$500,"&lt;="&amp;A324))</x:f>
      </x:c>
      <x:c r="K324" s="30" t="str">
        <x:f>IF(B324="","",IF(J324&lt;=0,"ESGOTADO",IF(J324&lt;=Config!$H$2,"SALDO CRÍTICO",IF(J324&lt;=Config!$H$3,"SALDO BAIXO","OK"))))</x:f>
      </x:c>
      <x:c r="L324" s="34"/>
      <x:c r="M324" s="30"/>
    </x:row>
    <x:row r="325">
      <x:c r="A325" s="30" t="str">
        <x:f>IF(B325="","",MAX($A$5:A324)+1)</x:f>
      </x:c>
      <x:c r="B325" s="30"/>
      <x:c r="C325" s="32"/>
      <x:c r="D325" s="30"/>
      <x:c r="E325" s="30"/>
      <x:c r="F325" s="30"/>
      <x:c r="G325" s="30"/>
      <x:c r="H325" s="34"/>
      <x:c r="I325" s="34"/>
      <x:c r="J325" s="34" t="str">
        <x:f>IF(B325="","",SUMIFS($H$5:$H$500,$B$5:$B$500,B325,$A$5:$A$500,"&lt;="&amp;A325)-SUMIFS($I$5:$I$500,$B$5:$B$500,B325,$A$5:$A$500,"&lt;="&amp;A325))</x:f>
      </x:c>
      <x:c r="K325" s="30" t="str">
        <x:f>IF(B325="","",IF(J325&lt;=0,"ESGOTADO",IF(J325&lt;=Config!$H$2,"SALDO CRÍTICO",IF(J325&lt;=Config!$H$3,"SALDO BAIXO","OK"))))</x:f>
      </x:c>
      <x:c r="L325" s="34"/>
      <x:c r="M325" s="30"/>
    </x:row>
    <x:row r="326">
      <x:c r="A326" s="30" t="str">
        <x:f>IF(B326="","",MAX($A$5:A325)+1)</x:f>
      </x:c>
      <x:c r="B326" s="30"/>
      <x:c r="C326" s="32"/>
      <x:c r="D326" s="30"/>
      <x:c r="E326" s="30"/>
      <x:c r="F326" s="30"/>
      <x:c r="G326" s="30"/>
      <x:c r="H326" s="34"/>
      <x:c r="I326" s="34"/>
      <x:c r="J326" s="34" t="str">
        <x:f>IF(B326="","",SUMIFS($H$5:$H$500,$B$5:$B$500,B326,$A$5:$A$500,"&lt;="&amp;A326)-SUMIFS($I$5:$I$500,$B$5:$B$500,B326,$A$5:$A$500,"&lt;="&amp;A326))</x:f>
      </x:c>
      <x:c r="K326" s="30" t="str">
        <x:f>IF(B326="","",IF(J326&lt;=0,"ESGOTADO",IF(J326&lt;=Config!$H$2,"SALDO CRÍTICO",IF(J326&lt;=Config!$H$3,"SALDO BAIXO","OK"))))</x:f>
      </x:c>
      <x:c r="L326" s="34"/>
      <x:c r="M326" s="30"/>
    </x:row>
    <x:row r="327">
      <x:c r="A327" s="30" t="str">
        <x:f>IF(B327="","",MAX($A$5:A326)+1)</x:f>
      </x:c>
      <x:c r="B327" s="30"/>
      <x:c r="C327" s="32"/>
      <x:c r="D327" s="30"/>
      <x:c r="E327" s="30"/>
      <x:c r="F327" s="30"/>
      <x:c r="G327" s="30"/>
      <x:c r="H327" s="34"/>
      <x:c r="I327" s="34"/>
      <x:c r="J327" s="34" t="str">
        <x:f>IF(B327="","",SUMIFS($H$5:$H$500,$B$5:$B$500,B327,$A$5:$A$500,"&lt;="&amp;A327)-SUMIFS($I$5:$I$500,$B$5:$B$500,B327,$A$5:$A$500,"&lt;="&amp;A327))</x:f>
      </x:c>
      <x:c r="K327" s="30" t="str">
        <x:f>IF(B327="","",IF(J327&lt;=0,"ESGOTADO",IF(J327&lt;=Config!$H$2,"SALDO CRÍTICO",IF(J327&lt;=Config!$H$3,"SALDO BAIXO","OK"))))</x:f>
      </x:c>
      <x:c r="L327" s="34"/>
      <x:c r="M327" s="30"/>
    </x:row>
    <x:row r="328">
      <x:c r="A328" s="30" t="str">
        <x:f>IF(B328="","",MAX($A$5:A327)+1)</x:f>
      </x:c>
      <x:c r="B328" s="30"/>
      <x:c r="C328" s="32"/>
      <x:c r="D328" s="30"/>
      <x:c r="E328" s="30"/>
      <x:c r="F328" s="30"/>
      <x:c r="G328" s="30"/>
      <x:c r="H328" s="34"/>
      <x:c r="I328" s="34"/>
      <x:c r="J328" s="34" t="str">
        <x:f>IF(B328="","",SUMIFS($H$5:$H$500,$B$5:$B$500,B328,$A$5:$A$500,"&lt;="&amp;A328)-SUMIFS($I$5:$I$500,$B$5:$B$500,B328,$A$5:$A$500,"&lt;="&amp;A328))</x:f>
      </x:c>
      <x:c r="K328" s="30" t="str">
        <x:f>IF(B328="","",IF(J328&lt;=0,"ESGOTADO",IF(J328&lt;=Config!$H$2,"SALDO CRÍTICO",IF(J328&lt;=Config!$H$3,"SALDO BAIXO","OK"))))</x:f>
      </x:c>
      <x:c r="L328" s="34"/>
      <x:c r="M328" s="30"/>
    </x:row>
    <x:row r="329">
      <x:c r="A329" s="30" t="str">
        <x:f>IF(B329="","",MAX($A$5:A328)+1)</x:f>
      </x:c>
      <x:c r="B329" s="30"/>
      <x:c r="C329" s="32"/>
      <x:c r="D329" s="30"/>
      <x:c r="E329" s="30"/>
      <x:c r="F329" s="30"/>
      <x:c r="G329" s="30"/>
      <x:c r="H329" s="34"/>
      <x:c r="I329" s="34"/>
      <x:c r="J329" s="34" t="str">
        <x:f>IF(B329="","",SUMIFS($H$5:$H$500,$B$5:$B$500,B329,$A$5:$A$500,"&lt;="&amp;A329)-SUMIFS($I$5:$I$500,$B$5:$B$500,B329,$A$5:$A$500,"&lt;="&amp;A329))</x:f>
      </x:c>
      <x:c r="K329" s="30" t="str">
        <x:f>IF(B329="","",IF(J329&lt;=0,"ESGOTADO",IF(J329&lt;=Config!$H$2,"SALDO CRÍTICO",IF(J329&lt;=Config!$H$3,"SALDO BAIXO","OK"))))</x:f>
      </x:c>
      <x:c r="L329" s="34"/>
      <x:c r="M329" s="30"/>
    </x:row>
    <x:row r="330">
      <x:c r="A330" s="30" t="str">
        <x:f>IF(B330="","",MAX($A$5:A329)+1)</x:f>
      </x:c>
      <x:c r="B330" s="30"/>
      <x:c r="C330" s="32"/>
      <x:c r="D330" s="30"/>
      <x:c r="E330" s="30"/>
      <x:c r="F330" s="30"/>
      <x:c r="G330" s="30"/>
      <x:c r="H330" s="34"/>
      <x:c r="I330" s="34"/>
      <x:c r="J330" s="34" t="str">
        <x:f>IF(B330="","",SUMIFS($H$5:$H$500,$B$5:$B$500,B330,$A$5:$A$500,"&lt;="&amp;A330)-SUMIFS($I$5:$I$500,$B$5:$B$500,B330,$A$5:$A$500,"&lt;="&amp;A330))</x:f>
      </x:c>
      <x:c r="K330" s="30" t="str">
        <x:f>IF(B330="","",IF(J330&lt;=0,"ESGOTADO",IF(J330&lt;=Config!$H$2,"SALDO CRÍTICO",IF(J330&lt;=Config!$H$3,"SALDO BAIXO","OK"))))</x:f>
      </x:c>
      <x:c r="L330" s="34"/>
      <x:c r="M330" s="30"/>
    </x:row>
    <x:row r="331">
      <x:c r="A331" s="30" t="str">
        <x:f>IF(B331="","",MAX($A$5:A330)+1)</x:f>
      </x:c>
      <x:c r="B331" s="30"/>
      <x:c r="C331" s="32"/>
      <x:c r="D331" s="30"/>
      <x:c r="E331" s="30"/>
      <x:c r="F331" s="30"/>
      <x:c r="G331" s="30"/>
      <x:c r="H331" s="34"/>
      <x:c r="I331" s="34"/>
      <x:c r="J331" s="34" t="str">
        <x:f>IF(B331="","",SUMIFS($H$5:$H$500,$B$5:$B$500,B331,$A$5:$A$500,"&lt;="&amp;A331)-SUMIFS($I$5:$I$500,$B$5:$B$500,B331,$A$5:$A$500,"&lt;="&amp;A331))</x:f>
      </x:c>
      <x:c r="K331" s="30" t="str">
        <x:f>IF(B331="","",IF(J331&lt;=0,"ESGOTADO",IF(J331&lt;=Config!$H$2,"SALDO CRÍTICO",IF(J331&lt;=Config!$H$3,"SALDO BAIXO","OK"))))</x:f>
      </x:c>
      <x:c r="L331" s="34"/>
      <x:c r="M331" s="30"/>
    </x:row>
    <x:row r="332">
      <x:c r="A332" s="30" t="str">
        <x:f>IF(B332="","",MAX($A$5:A331)+1)</x:f>
      </x:c>
      <x:c r="B332" s="30"/>
      <x:c r="C332" s="32"/>
      <x:c r="D332" s="30"/>
      <x:c r="E332" s="30"/>
      <x:c r="F332" s="30"/>
      <x:c r="G332" s="30"/>
      <x:c r="H332" s="34"/>
      <x:c r="I332" s="34"/>
      <x:c r="J332" s="34" t="str">
        <x:f>IF(B332="","",SUMIFS($H$5:$H$500,$B$5:$B$500,B332,$A$5:$A$500,"&lt;="&amp;A332)-SUMIFS($I$5:$I$500,$B$5:$B$500,B332,$A$5:$A$500,"&lt;="&amp;A332))</x:f>
      </x:c>
      <x:c r="K332" s="30" t="str">
        <x:f>IF(B332="","",IF(J332&lt;=0,"ESGOTADO",IF(J332&lt;=Config!$H$2,"SALDO CRÍTICO",IF(J332&lt;=Config!$H$3,"SALDO BAIXO","OK"))))</x:f>
      </x:c>
      <x:c r="L332" s="34"/>
      <x:c r="M332" s="30"/>
    </x:row>
    <x:row r="333">
      <x:c r="A333" s="30" t="str">
        <x:f>IF(B333="","",MAX($A$5:A332)+1)</x:f>
      </x:c>
      <x:c r="B333" s="30"/>
      <x:c r="C333" s="32"/>
      <x:c r="D333" s="30"/>
      <x:c r="E333" s="30"/>
      <x:c r="F333" s="30"/>
      <x:c r="G333" s="30"/>
      <x:c r="H333" s="34"/>
      <x:c r="I333" s="34"/>
      <x:c r="J333" s="34" t="str">
        <x:f>IF(B333="","",SUMIFS($H$5:$H$500,$B$5:$B$500,B333,$A$5:$A$500,"&lt;="&amp;A333)-SUMIFS($I$5:$I$500,$B$5:$B$500,B333,$A$5:$A$500,"&lt;="&amp;A333))</x:f>
      </x:c>
      <x:c r="K333" s="30" t="str">
        <x:f>IF(B333="","",IF(J333&lt;=0,"ESGOTADO",IF(J333&lt;=Config!$H$2,"SALDO CRÍTICO",IF(J333&lt;=Config!$H$3,"SALDO BAIXO","OK"))))</x:f>
      </x:c>
      <x:c r="L333" s="34"/>
      <x:c r="M333" s="30"/>
    </x:row>
    <x:row r="334">
      <x:c r="A334" s="30" t="str">
        <x:f>IF(B334="","",MAX($A$5:A333)+1)</x:f>
      </x:c>
      <x:c r="B334" s="30"/>
      <x:c r="C334" s="32"/>
      <x:c r="D334" s="30"/>
      <x:c r="E334" s="30"/>
      <x:c r="F334" s="30"/>
      <x:c r="G334" s="30"/>
      <x:c r="H334" s="34"/>
      <x:c r="I334" s="34"/>
      <x:c r="J334" s="34" t="str">
        <x:f>IF(B334="","",SUMIFS($H$5:$H$500,$B$5:$B$500,B334,$A$5:$A$500,"&lt;="&amp;A334)-SUMIFS($I$5:$I$500,$B$5:$B$500,B334,$A$5:$A$500,"&lt;="&amp;A334))</x:f>
      </x:c>
      <x:c r="K334" s="30" t="str">
        <x:f>IF(B334="","",IF(J334&lt;=0,"ESGOTADO",IF(J334&lt;=Config!$H$2,"SALDO CRÍTICO",IF(J334&lt;=Config!$H$3,"SALDO BAIXO","OK"))))</x:f>
      </x:c>
      <x:c r="L334" s="34"/>
      <x:c r="M334" s="30"/>
    </x:row>
    <x:row r="335">
      <x:c r="A335" s="30" t="str">
        <x:f>IF(B335="","",MAX($A$5:A334)+1)</x:f>
      </x:c>
      <x:c r="B335" s="30"/>
      <x:c r="C335" s="32"/>
      <x:c r="D335" s="30"/>
      <x:c r="E335" s="30"/>
      <x:c r="F335" s="30"/>
      <x:c r="G335" s="30"/>
      <x:c r="H335" s="34"/>
      <x:c r="I335" s="34"/>
      <x:c r="J335" s="34" t="str">
        <x:f>IF(B335="","",SUMIFS($H$5:$H$500,$B$5:$B$500,B335,$A$5:$A$500,"&lt;="&amp;A335)-SUMIFS($I$5:$I$500,$B$5:$B$500,B335,$A$5:$A$500,"&lt;="&amp;A335))</x:f>
      </x:c>
      <x:c r="K335" s="30" t="str">
        <x:f>IF(B335="","",IF(J335&lt;=0,"ESGOTADO",IF(J335&lt;=Config!$H$2,"SALDO CRÍTICO",IF(J335&lt;=Config!$H$3,"SALDO BAIXO","OK"))))</x:f>
      </x:c>
      <x:c r="L335" s="34"/>
      <x:c r="M335" s="30"/>
    </x:row>
    <x:row r="336">
      <x:c r="A336" s="30" t="str">
        <x:f>IF(B336="","",MAX($A$5:A335)+1)</x:f>
      </x:c>
      <x:c r="B336" s="30"/>
      <x:c r="C336" s="32"/>
      <x:c r="D336" s="30"/>
      <x:c r="E336" s="30"/>
      <x:c r="F336" s="30"/>
      <x:c r="G336" s="30"/>
      <x:c r="H336" s="34"/>
      <x:c r="I336" s="34"/>
      <x:c r="J336" s="34" t="str">
        <x:f>IF(B336="","",SUMIFS($H$5:$H$500,$B$5:$B$500,B336,$A$5:$A$500,"&lt;="&amp;A336)-SUMIFS($I$5:$I$500,$B$5:$B$500,B336,$A$5:$A$500,"&lt;="&amp;A336))</x:f>
      </x:c>
      <x:c r="K336" s="30" t="str">
        <x:f>IF(B336="","",IF(J336&lt;=0,"ESGOTADO",IF(J336&lt;=Config!$H$2,"SALDO CRÍTICO",IF(J336&lt;=Config!$H$3,"SALDO BAIXO","OK"))))</x:f>
      </x:c>
      <x:c r="L336" s="34"/>
      <x:c r="M336" s="30"/>
    </x:row>
    <x:row r="337">
      <x:c r="A337" s="30" t="str">
        <x:f>IF(B337="","",MAX($A$5:A336)+1)</x:f>
      </x:c>
      <x:c r="B337" s="30"/>
      <x:c r="C337" s="32"/>
      <x:c r="D337" s="30"/>
      <x:c r="E337" s="30"/>
      <x:c r="F337" s="30"/>
      <x:c r="G337" s="30"/>
      <x:c r="H337" s="34"/>
      <x:c r="I337" s="34"/>
      <x:c r="J337" s="34" t="str">
        <x:f>IF(B337="","",SUMIFS($H$5:$H$500,$B$5:$B$500,B337,$A$5:$A$500,"&lt;="&amp;A337)-SUMIFS($I$5:$I$500,$B$5:$B$500,B337,$A$5:$A$500,"&lt;="&amp;A337))</x:f>
      </x:c>
      <x:c r="K337" s="30" t="str">
        <x:f>IF(B337="","",IF(J337&lt;=0,"ESGOTADO",IF(J337&lt;=Config!$H$2,"SALDO CRÍTICO",IF(J337&lt;=Config!$H$3,"SALDO BAIXO","OK"))))</x:f>
      </x:c>
      <x:c r="L337" s="34"/>
      <x:c r="M337" s="30"/>
    </x:row>
    <x:row r="338">
      <x:c r="A338" s="30" t="str">
        <x:f>IF(B338="","",MAX($A$5:A337)+1)</x:f>
      </x:c>
      <x:c r="B338" s="30"/>
      <x:c r="C338" s="32"/>
      <x:c r="D338" s="30"/>
      <x:c r="E338" s="30"/>
      <x:c r="F338" s="30"/>
      <x:c r="G338" s="30"/>
      <x:c r="H338" s="34"/>
      <x:c r="I338" s="34"/>
      <x:c r="J338" s="34" t="str">
        <x:f>IF(B338="","",SUMIFS($H$5:$H$500,$B$5:$B$500,B338,$A$5:$A$500,"&lt;="&amp;A338)-SUMIFS($I$5:$I$500,$B$5:$B$500,B338,$A$5:$A$500,"&lt;="&amp;A338))</x:f>
      </x:c>
      <x:c r="K338" s="30" t="str">
        <x:f>IF(B338="","",IF(J338&lt;=0,"ESGOTADO",IF(J338&lt;=Config!$H$2,"SALDO CRÍTICO",IF(J338&lt;=Config!$H$3,"SALDO BAIXO","OK"))))</x:f>
      </x:c>
      <x:c r="L338" s="34"/>
      <x:c r="M338" s="30"/>
    </x:row>
    <x:row r="339">
      <x:c r="A339" s="30" t="str">
        <x:f>IF(B339="","",MAX($A$5:A338)+1)</x:f>
      </x:c>
      <x:c r="B339" s="30"/>
      <x:c r="C339" s="32"/>
      <x:c r="D339" s="30"/>
      <x:c r="E339" s="30"/>
      <x:c r="F339" s="30"/>
      <x:c r="G339" s="30"/>
      <x:c r="H339" s="34"/>
      <x:c r="I339" s="34"/>
      <x:c r="J339" s="34" t="str">
        <x:f>IF(B339="","",SUMIFS($H$5:$H$500,$B$5:$B$500,B339,$A$5:$A$500,"&lt;="&amp;A339)-SUMIFS($I$5:$I$500,$B$5:$B$500,B339,$A$5:$A$500,"&lt;="&amp;A339))</x:f>
      </x:c>
      <x:c r="K339" s="30" t="str">
        <x:f>IF(B339="","",IF(J339&lt;=0,"ESGOTADO",IF(J339&lt;=Config!$H$2,"SALDO CRÍTICO",IF(J339&lt;=Config!$H$3,"SALDO BAIXO","OK"))))</x:f>
      </x:c>
      <x:c r="L339" s="34"/>
      <x:c r="M339" s="30"/>
    </x:row>
    <x:row r="340">
      <x:c r="A340" s="30" t="str">
        <x:f>IF(B340="","",MAX($A$5:A339)+1)</x:f>
      </x:c>
      <x:c r="B340" s="30"/>
      <x:c r="C340" s="32"/>
      <x:c r="D340" s="30"/>
      <x:c r="E340" s="30"/>
      <x:c r="F340" s="30"/>
      <x:c r="G340" s="30"/>
      <x:c r="H340" s="34"/>
      <x:c r="I340" s="34"/>
      <x:c r="J340" s="34" t="str">
        <x:f>IF(B340="","",SUMIFS($H$5:$H$500,$B$5:$B$500,B340,$A$5:$A$500,"&lt;="&amp;A340)-SUMIFS($I$5:$I$500,$B$5:$B$500,B340,$A$5:$A$500,"&lt;="&amp;A340))</x:f>
      </x:c>
      <x:c r="K340" s="30" t="str">
        <x:f>IF(B340="","",IF(J340&lt;=0,"ESGOTADO",IF(J340&lt;=Config!$H$2,"SALDO CRÍTICO",IF(J340&lt;=Config!$H$3,"SALDO BAIXO","OK"))))</x:f>
      </x:c>
      <x:c r="L340" s="34"/>
      <x:c r="M340" s="30"/>
    </x:row>
    <x:row r="341">
      <x:c r="A341" s="30" t="str">
        <x:f>IF(B341="","",MAX($A$5:A340)+1)</x:f>
      </x:c>
      <x:c r="B341" s="30"/>
      <x:c r="C341" s="32"/>
      <x:c r="D341" s="30"/>
      <x:c r="E341" s="30"/>
      <x:c r="F341" s="30"/>
      <x:c r="G341" s="30"/>
      <x:c r="H341" s="34"/>
      <x:c r="I341" s="34"/>
      <x:c r="J341" s="34" t="str">
        <x:f>IF(B341="","",SUMIFS($H$5:$H$500,$B$5:$B$500,B341,$A$5:$A$500,"&lt;="&amp;A341)-SUMIFS($I$5:$I$500,$B$5:$B$500,B341,$A$5:$A$500,"&lt;="&amp;A341))</x:f>
      </x:c>
      <x:c r="K341" s="30" t="str">
        <x:f>IF(B341="","",IF(J341&lt;=0,"ESGOTADO",IF(J341&lt;=Config!$H$2,"SALDO CRÍTICO",IF(J341&lt;=Config!$H$3,"SALDO BAIXO","OK"))))</x:f>
      </x:c>
      <x:c r="L341" s="34"/>
      <x:c r="M341" s="30"/>
    </x:row>
    <x:row r="342">
      <x:c r="A342" s="30" t="str">
        <x:f>IF(B342="","",MAX($A$5:A341)+1)</x:f>
      </x:c>
      <x:c r="B342" s="30"/>
      <x:c r="C342" s="32"/>
      <x:c r="D342" s="30"/>
      <x:c r="E342" s="30"/>
      <x:c r="F342" s="30"/>
      <x:c r="G342" s="30"/>
      <x:c r="H342" s="34"/>
      <x:c r="I342" s="34"/>
      <x:c r="J342" s="34" t="str">
        <x:f>IF(B342="","",SUMIFS($H$5:$H$500,$B$5:$B$500,B342,$A$5:$A$500,"&lt;="&amp;A342)-SUMIFS($I$5:$I$500,$B$5:$B$500,B342,$A$5:$A$500,"&lt;="&amp;A342))</x:f>
      </x:c>
      <x:c r="K342" s="30" t="str">
        <x:f>IF(B342="","",IF(J342&lt;=0,"ESGOTADO",IF(J342&lt;=Config!$H$2,"SALDO CRÍTICO",IF(J342&lt;=Config!$H$3,"SALDO BAIXO","OK"))))</x:f>
      </x:c>
      <x:c r="L342" s="34"/>
      <x:c r="M342" s="30"/>
    </x:row>
    <x:row r="343">
      <x:c r="A343" s="30" t="str">
        <x:f>IF(B343="","",MAX($A$5:A342)+1)</x:f>
      </x:c>
      <x:c r="B343" s="30"/>
      <x:c r="C343" s="32"/>
      <x:c r="D343" s="30"/>
      <x:c r="E343" s="30"/>
      <x:c r="F343" s="30"/>
      <x:c r="G343" s="30"/>
      <x:c r="H343" s="34"/>
      <x:c r="I343" s="34"/>
      <x:c r="J343" s="34" t="str">
        <x:f>IF(B343="","",SUMIFS($H$5:$H$500,$B$5:$B$500,B343,$A$5:$A$500,"&lt;="&amp;A343)-SUMIFS($I$5:$I$500,$B$5:$B$500,B343,$A$5:$A$500,"&lt;="&amp;A343))</x:f>
      </x:c>
      <x:c r="K343" s="30" t="str">
        <x:f>IF(B343="","",IF(J343&lt;=0,"ESGOTADO",IF(J343&lt;=Config!$H$2,"SALDO CRÍTICO",IF(J343&lt;=Config!$H$3,"SALDO BAIXO","OK"))))</x:f>
      </x:c>
      <x:c r="L343" s="34"/>
      <x:c r="M343" s="30"/>
    </x:row>
    <x:row r="344">
      <x:c r="A344" s="30" t="str">
        <x:f>IF(B344="","",MAX($A$5:A343)+1)</x:f>
      </x:c>
      <x:c r="B344" s="30"/>
      <x:c r="C344" s="32"/>
      <x:c r="D344" s="30"/>
      <x:c r="E344" s="30"/>
      <x:c r="F344" s="30"/>
      <x:c r="G344" s="30"/>
      <x:c r="H344" s="34"/>
      <x:c r="I344" s="34"/>
      <x:c r="J344" s="34" t="str">
        <x:f>IF(B344="","",SUMIFS($H$5:$H$500,$B$5:$B$500,B344,$A$5:$A$500,"&lt;="&amp;A344)-SUMIFS($I$5:$I$500,$B$5:$B$500,B344,$A$5:$A$500,"&lt;="&amp;A344))</x:f>
      </x:c>
      <x:c r="K344" s="30" t="str">
        <x:f>IF(B344="","",IF(J344&lt;=0,"ESGOTADO",IF(J344&lt;=Config!$H$2,"SALDO CRÍTICO",IF(J344&lt;=Config!$H$3,"SALDO BAIXO","OK"))))</x:f>
      </x:c>
      <x:c r="L344" s="34"/>
      <x:c r="M344" s="30"/>
    </x:row>
    <x:row r="345">
      <x:c r="A345" s="30" t="str">
        <x:f>IF(B345="","",MAX($A$5:A344)+1)</x:f>
      </x:c>
      <x:c r="B345" s="30"/>
      <x:c r="C345" s="32"/>
      <x:c r="D345" s="30"/>
      <x:c r="E345" s="30"/>
      <x:c r="F345" s="30"/>
      <x:c r="G345" s="30"/>
      <x:c r="H345" s="34"/>
      <x:c r="I345" s="34"/>
      <x:c r="J345" s="34" t="str">
        <x:f>IF(B345="","",SUMIFS($H$5:$H$500,$B$5:$B$500,B345,$A$5:$A$500,"&lt;="&amp;A345)-SUMIFS($I$5:$I$500,$B$5:$B$500,B345,$A$5:$A$500,"&lt;="&amp;A345))</x:f>
      </x:c>
      <x:c r="K345" s="30" t="str">
        <x:f>IF(B345="","",IF(J345&lt;=0,"ESGOTADO",IF(J345&lt;=Config!$H$2,"SALDO CRÍTICO",IF(J345&lt;=Config!$H$3,"SALDO BAIXO","OK"))))</x:f>
      </x:c>
      <x:c r="L345" s="34"/>
      <x:c r="M345" s="30"/>
    </x:row>
    <x:row r="346">
      <x:c r="A346" s="30" t="str">
        <x:f>IF(B346="","",MAX($A$5:A345)+1)</x:f>
      </x:c>
      <x:c r="B346" s="30"/>
      <x:c r="C346" s="32"/>
      <x:c r="D346" s="30"/>
      <x:c r="E346" s="30"/>
      <x:c r="F346" s="30"/>
      <x:c r="G346" s="30"/>
      <x:c r="H346" s="34"/>
      <x:c r="I346" s="34"/>
      <x:c r="J346" s="34" t="str">
        <x:f>IF(B346="","",SUMIFS($H$5:$H$500,$B$5:$B$500,B346,$A$5:$A$500,"&lt;="&amp;A346)-SUMIFS($I$5:$I$500,$B$5:$B$500,B346,$A$5:$A$500,"&lt;="&amp;A346))</x:f>
      </x:c>
      <x:c r="K346" s="30" t="str">
        <x:f>IF(B346="","",IF(J346&lt;=0,"ESGOTADO",IF(J346&lt;=Config!$H$2,"SALDO CRÍTICO",IF(J346&lt;=Config!$H$3,"SALDO BAIXO","OK"))))</x:f>
      </x:c>
      <x:c r="L346" s="34"/>
      <x:c r="M346" s="30"/>
    </x:row>
    <x:row r="347">
      <x:c r="A347" s="30" t="str">
        <x:f>IF(B347="","",MAX($A$5:A346)+1)</x:f>
      </x:c>
      <x:c r="B347" s="30"/>
      <x:c r="C347" s="32"/>
      <x:c r="D347" s="30"/>
      <x:c r="E347" s="30"/>
      <x:c r="F347" s="30"/>
      <x:c r="G347" s="30"/>
      <x:c r="H347" s="34"/>
      <x:c r="I347" s="34"/>
      <x:c r="J347" s="34" t="str">
        <x:f>IF(B347="","",SUMIFS($H$5:$H$500,$B$5:$B$500,B347,$A$5:$A$500,"&lt;="&amp;A347)-SUMIFS($I$5:$I$500,$B$5:$B$500,B347,$A$5:$A$500,"&lt;="&amp;A347))</x:f>
      </x:c>
      <x:c r="K347" s="30" t="str">
        <x:f>IF(B347="","",IF(J347&lt;=0,"ESGOTADO",IF(J347&lt;=Config!$H$2,"SALDO CRÍTICO",IF(J347&lt;=Config!$H$3,"SALDO BAIXO","OK"))))</x:f>
      </x:c>
      <x:c r="L347" s="34"/>
      <x:c r="M347" s="30"/>
    </x:row>
    <x:row r="348">
      <x:c r="A348" s="30" t="str">
        <x:f>IF(B348="","",MAX($A$5:A347)+1)</x:f>
      </x:c>
      <x:c r="B348" s="30"/>
      <x:c r="C348" s="32"/>
      <x:c r="D348" s="30"/>
      <x:c r="E348" s="30"/>
      <x:c r="F348" s="30"/>
      <x:c r="G348" s="30"/>
      <x:c r="H348" s="34"/>
      <x:c r="I348" s="34"/>
      <x:c r="J348" s="34" t="str">
        <x:f>IF(B348="","",SUMIFS($H$5:$H$500,$B$5:$B$500,B348,$A$5:$A$500,"&lt;="&amp;A348)-SUMIFS($I$5:$I$500,$B$5:$B$500,B348,$A$5:$A$500,"&lt;="&amp;A348))</x:f>
      </x:c>
      <x:c r="K348" s="30" t="str">
        <x:f>IF(B348="","",IF(J348&lt;=0,"ESGOTADO",IF(J348&lt;=Config!$H$2,"SALDO CRÍTICO",IF(J348&lt;=Config!$H$3,"SALDO BAIXO","OK"))))</x:f>
      </x:c>
      <x:c r="L348" s="34"/>
      <x:c r="M348" s="30"/>
    </x:row>
    <x:row r="349">
      <x:c r="A349" s="30" t="str">
        <x:f>IF(B349="","",MAX($A$5:A348)+1)</x:f>
      </x:c>
      <x:c r="B349" s="30"/>
      <x:c r="C349" s="32"/>
      <x:c r="D349" s="30"/>
      <x:c r="E349" s="30"/>
      <x:c r="F349" s="30"/>
      <x:c r="G349" s="30"/>
      <x:c r="H349" s="34"/>
      <x:c r="I349" s="34"/>
      <x:c r="J349" s="34" t="str">
        <x:f>IF(B349="","",SUMIFS($H$5:$H$500,$B$5:$B$500,B349,$A$5:$A$500,"&lt;="&amp;A349)-SUMIFS($I$5:$I$500,$B$5:$B$500,B349,$A$5:$A$500,"&lt;="&amp;A349))</x:f>
      </x:c>
      <x:c r="K349" s="30" t="str">
        <x:f>IF(B349="","",IF(J349&lt;=0,"ESGOTADO",IF(J349&lt;=Config!$H$2,"SALDO CRÍTICO",IF(J349&lt;=Config!$H$3,"SALDO BAIXO","OK"))))</x:f>
      </x:c>
      <x:c r="L349" s="34"/>
      <x:c r="M349" s="30"/>
    </x:row>
    <x:row r="350">
      <x:c r="A350" s="30" t="str">
        <x:f>IF(B350="","",MAX($A$5:A349)+1)</x:f>
      </x:c>
      <x:c r="B350" s="30"/>
      <x:c r="C350" s="32"/>
      <x:c r="D350" s="30"/>
      <x:c r="E350" s="30"/>
      <x:c r="F350" s="30"/>
      <x:c r="G350" s="30"/>
      <x:c r="H350" s="34"/>
      <x:c r="I350" s="34"/>
      <x:c r="J350" s="34" t="str">
        <x:f>IF(B350="","",SUMIFS($H$5:$H$500,$B$5:$B$500,B350,$A$5:$A$500,"&lt;="&amp;A350)-SUMIFS($I$5:$I$500,$B$5:$B$500,B350,$A$5:$A$500,"&lt;="&amp;A350))</x:f>
      </x:c>
      <x:c r="K350" s="30" t="str">
        <x:f>IF(B350="","",IF(J350&lt;=0,"ESGOTADO",IF(J350&lt;=Config!$H$2,"SALDO CRÍTICO",IF(J350&lt;=Config!$H$3,"SALDO BAIXO","OK"))))</x:f>
      </x:c>
      <x:c r="L350" s="34"/>
      <x:c r="M350" s="30"/>
    </x:row>
    <x:row r="351">
      <x:c r="A351" s="30" t="str">
        <x:f>IF(B351="","",MAX($A$5:A350)+1)</x:f>
      </x:c>
      <x:c r="B351" s="30"/>
      <x:c r="C351" s="32"/>
      <x:c r="D351" s="30"/>
      <x:c r="E351" s="30"/>
      <x:c r="F351" s="30"/>
      <x:c r="G351" s="30"/>
      <x:c r="H351" s="34"/>
      <x:c r="I351" s="34"/>
      <x:c r="J351" s="34" t="str">
        <x:f>IF(B351="","",SUMIFS($H$5:$H$500,$B$5:$B$500,B351,$A$5:$A$500,"&lt;="&amp;A351)-SUMIFS($I$5:$I$500,$B$5:$B$500,B351,$A$5:$A$500,"&lt;="&amp;A351))</x:f>
      </x:c>
      <x:c r="K351" s="30" t="str">
        <x:f>IF(B351="","",IF(J351&lt;=0,"ESGOTADO",IF(J351&lt;=Config!$H$2,"SALDO CRÍTICO",IF(J351&lt;=Config!$H$3,"SALDO BAIXO","OK"))))</x:f>
      </x:c>
      <x:c r="L351" s="34"/>
      <x:c r="M351" s="30"/>
    </x:row>
    <x:row r="352">
      <x:c r="A352" s="30" t="str">
        <x:f>IF(B352="","",MAX($A$5:A351)+1)</x:f>
      </x:c>
      <x:c r="B352" s="30"/>
      <x:c r="C352" s="32"/>
      <x:c r="D352" s="30"/>
      <x:c r="E352" s="30"/>
      <x:c r="F352" s="30"/>
      <x:c r="G352" s="30"/>
      <x:c r="H352" s="34"/>
      <x:c r="I352" s="34"/>
      <x:c r="J352" s="34" t="str">
        <x:f>IF(B352="","",SUMIFS($H$5:$H$500,$B$5:$B$500,B352,$A$5:$A$500,"&lt;="&amp;A352)-SUMIFS($I$5:$I$500,$B$5:$B$500,B352,$A$5:$A$500,"&lt;="&amp;A352))</x:f>
      </x:c>
      <x:c r="K352" s="30" t="str">
        <x:f>IF(B352="","",IF(J352&lt;=0,"ESGOTADO",IF(J352&lt;=Config!$H$2,"SALDO CRÍTICO",IF(J352&lt;=Config!$H$3,"SALDO BAIXO","OK"))))</x:f>
      </x:c>
      <x:c r="L352" s="34"/>
      <x:c r="M352" s="30"/>
    </x:row>
    <x:row r="353">
      <x:c r="A353" s="30" t="str">
        <x:f>IF(B353="","",MAX($A$5:A352)+1)</x:f>
      </x:c>
      <x:c r="B353" s="30"/>
      <x:c r="C353" s="32"/>
      <x:c r="D353" s="30"/>
      <x:c r="E353" s="30"/>
      <x:c r="F353" s="30"/>
      <x:c r="G353" s="30"/>
      <x:c r="H353" s="34"/>
      <x:c r="I353" s="34"/>
      <x:c r="J353" s="34" t="str">
        <x:f>IF(B353="","",SUMIFS($H$5:$H$500,$B$5:$B$500,B353,$A$5:$A$500,"&lt;="&amp;A353)-SUMIFS($I$5:$I$500,$B$5:$B$500,B353,$A$5:$A$500,"&lt;="&amp;A353))</x:f>
      </x:c>
      <x:c r="K353" s="30" t="str">
        <x:f>IF(B353="","",IF(J353&lt;=0,"ESGOTADO",IF(J353&lt;=Config!$H$2,"SALDO CRÍTICO",IF(J353&lt;=Config!$H$3,"SALDO BAIXO","OK"))))</x:f>
      </x:c>
      <x:c r="L353" s="34"/>
      <x:c r="M353" s="30"/>
    </x:row>
    <x:row r="354">
      <x:c r="A354" s="30" t="str">
        <x:f>IF(B354="","",MAX($A$5:A353)+1)</x:f>
      </x:c>
      <x:c r="B354" s="30"/>
      <x:c r="C354" s="32"/>
      <x:c r="D354" s="30"/>
      <x:c r="E354" s="30"/>
      <x:c r="F354" s="30"/>
      <x:c r="G354" s="30"/>
      <x:c r="H354" s="34"/>
      <x:c r="I354" s="34"/>
      <x:c r="J354" s="34" t="str">
        <x:f>IF(B354="","",SUMIFS($H$5:$H$500,$B$5:$B$500,B354,$A$5:$A$500,"&lt;="&amp;A354)-SUMIFS($I$5:$I$500,$B$5:$B$500,B354,$A$5:$A$500,"&lt;="&amp;A354))</x:f>
      </x:c>
      <x:c r="K354" s="30" t="str">
        <x:f>IF(B354="","",IF(J354&lt;=0,"ESGOTADO",IF(J354&lt;=Config!$H$2,"SALDO CRÍTICO",IF(J354&lt;=Config!$H$3,"SALDO BAIXO","OK"))))</x:f>
      </x:c>
      <x:c r="L354" s="34"/>
      <x:c r="M354" s="30"/>
    </x:row>
    <x:row r="355">
      <x:c r="A355" s="30" t="str">
        <x:f>IF(B355="","",MAX($A$5:A354)+1)</x:f>
      </x:c>
      <x:c r="B355" s="30"/>
      <x:c r="C355" s="32"/>
      <x:c r="D355" s="30"/>
      <x:c r="E355" s="30"/>
      <x:c r="F355" s="30"/>
      <x:c r="G355" s="30"/>
      <x:c r="H355" s="34"/>
      <x:c r="I355" s="34"/>
      <x:c r="J355" s="34" t="str">
        <x:f>IF(B355="","",SUMIFS($H$5:$H$500,$B$5:$B$500,B355,$A$5:$A$500,"&lt;="&amp;A355)-SUMIFS($I$5:$I$500,$B$5:$B$500,B355,$A$5:$A$500,"&lt;="&amp;A355))</x:f>
      </x:c>
      <x:c r="K355" s="30" t="str">
        <x:f>IF(B355="","",IF(J355&lt;=0,"ESGOTADO",IF(J355&lt;=Config!$H$2,"SALDO CRÍTICO",IF(J355&lt;=Config!$H$3,"SALDO BAIXO","OK"))))</x:f>
      </x:c>
      <x:c r="L355" s="34"/>
      <x:c r="M355" s="30"/>
    </x:row>
    <x:row r="356">
      <x:c r="A356" s="30" t="str">
        <x:f>IF(B356="","",MAX($A$5:A355)+1)</x:f>
      </x:c>
      <x:c r="B356" s="30"/>
      <x:c r="C356" s="32"/>
      <x:c r="D356" s="30"/>
      <x:c r="E356" s="30"/>
      <x:c r="F356" s="30"/>
      <x:c r="G356" s="30"/>
      <x:c r="H356" s="34"/>
      <x:c r="I356" s="34"/>
      <x:c r="J356" s="34" t="str">
        <x:f>IF(B356="","",SUMIFS($H$5:$H$500,$B$5:$B$500,B356,$A$5:$A$500,"&lt;="&amp;A356)-SUMIFS($I$5:$I$500,$B$5:$B$500,B356,$A$5:$A$500,"&lt;="&amp;A356))</x:f>
      </x:c>
      <x:c r="K356" s="30" t="str">
        <x:f>IF(B356="","",IF(J356&lt;=0,"ESGOTADO",IF(J356&lt;=Config!$H$2,"SALDO CRÍTICO",IF(J356&lt;=Config!$H$3,"SALDO BAIXO","OK"))))</x:f>
      </x:c>
      <x:c r="L356" s="34"/>
      <x:c r="M356" s="30"/>
    </x:row>
    <x:row r="357">
      <x:c r="A357" s="30" t="str">
        <x:f>IF(B357="","",MAX($A$5:A356)+1)</x:f>
      </x:c>
      <x:c r="B357" s="30"/>
      <x:c r="C357" s="32"/>
      <x:c r="D357" s="30"/>
      <x:c r="E357" s="30"/>
      <x:c r="F357" s="30"/>
      <x:c r="G357" s="30"/>
      <x:c r="H357" s="34"/>
      <x:c r="I357" s="34"/>
      <x:c r="J357" s="34" t="str">
        <x:f>IF(B357="","",SUMIFS($H$5:$H$500,$B$5:$B$500,B357,$A$5:$A$500,"&lt;="&amp;A357)-SUMIFS($I$5:$I$500,$B$5:$B$500,B357,$A$5:$A$500,"&lt;="&amp;A357))</x:f>
      </x:c>
      <x:c r="K357" s="30" t="str">
        <x:f>IF(B357="","",IF(J357&lt;=0,"ESGOTADO",IF(J357&lt;=Config!$H$2,"SALDO CRÍTICO",IF(J357&lt;=Config!$H$3,"SALDO BAIXO","OK"))))</x:f>
      </x:c>
      <x:c r="L357" s="34"/>
      <x:c r="M357" s="30"/>
    </x:row>
    <x:row r="358">
      <x:c r="A358" s="30" t="str">
        <x:f>IF(B358="","",MAX($A$5:A357)+1)</x:f>
      </x:c>
      <x:c r="B358" s="30"/>
      <x:c r="C358" s="32"/>
      <x:c r="D358" s="30"/>
      <x:c r="E358" s="30"/>
      <x:c r="F358" s="30"/>
      <x:c r="G358" s="30"/>
      <x:c r="H358" s="34"/>
      <x:c r="I358" s="34"/>
      <x:c r="J358" s="34" t="str">
        <x:f>IF(B358="","",SUMIFS($H$5:$H$500,$B$5:$B$500,B358,$A$5:$A$500,"&lt;="&amp;A358)-SUMIFS($I$5:$I$500,$B$5:$B$500,B358,$A$5:$A$500,"&lt;="&amp;A358))</x:f>
      </x:c>
      <x:c r="K358" s="30" t="str">
        <x:f>IF(B358="","",IF(J358&lt;=0,"ESGOTADO",IF(J358&lt;=Config!$H$2,"SALDO CRÍTICO",IF(J358&lt;=Config!$H$3,"SALDO BAIXO","OK"))))</x:f>
      </x:c>
      <x:c r="L358" s="34"/>
      <x:c r="M358" s="30"/>
    </x:row>
    <x:row r="359">
      <x:c r="A359" s="30" t="str">
        <x:f>IF(B359="","",MAX($A$5:A358)+1)</x:f>
      </x:c>
      <x:c r="B359" s="30"/>
      <x:c r="C359" s="32"/>
      <x:c r="D359" s="30"/>
      <x:c r="E359" s="30"/>
      <x:c r="F359" s="30"/>
      <x:c r="G359" s="30"/>
      <x:c r="H359" s="34"/>
      <x:c r="I359" s="34"/>
      <x:c r="J359" s="34" t="str">
        <x:f>IF(B359="","",SUMIFS($H$5:$H$500,$B$5:$B$500,B359,$A$5:$A$500,"&lt;="&amp;A359)-SUMIFS($I$5:$I$500,$B$5:$B$500,B359,$A$5:$A$500,"&lt;="&amp;A359))</x:f>
      </x:c>
      <x:c r="K359" s="30" t="str">
        <x:f>IF(B359="","",IF(J359&lt;=0,"ESGOTADO",IF(J359&lt;=Config!$H$2,"SALDO CRÍTICO",IF(J359&lt;=Config!$H$3,"SALDO BAIXO","OK"))))</x:f>
      </x:c>
      <x:c r="L359" s="34"/>
      <x:c r="M359" s="30"/>
    </x:row>
    <x:row r="360">
      <x:c r="A360" s="30" t="str">
        <x:f>IF(B360="","",MAX($A$5:A359)+1)</x:f>
      </x:c>
      <x:c r="B360" s="30"/>
      <x:c r="C360" s="32"/>
      <x:c r="D360" s="30"/>
      <x:c r="E360" s="30"/>
      <x:c r="F360" s="30"/>
      <x:c r="G360" s="30"/>
      <x:c r="H360" s="34"/>
      <x:c r="I360" s="34"/>
      <x:c r="J360" s="34" t="str">
        <x:f>IF(B360="","",SUMIFS($H$5:$H$500,$B$5:$B$500,B360,$A$5:$A$500,"&lt;="&amp;A360)-SUMIFS($I$5:$I$500,$B$5:$B$500,B360,$A$5:$A$500,"&lt;="&amp;A360))</x:f>
      </x:c>
      <x:c r="K360" s="30" t="str">
        <x:f>IF(B360="","",IF(J360&lt;=0,"ESGOTADO",IF(J360&lt;=Config!$H$2,"SALDO CRÍTICO",IF(J360&lt;=Config!$H$3,"SALDO BAIXO","OK"))))</x:f>
      </x:c>
      <x:c r="L360" s="34"/>
      <x:c r="M360" s="30"/>
    </x:row>
    <x:row r="361">
      <x:c r="A361" s="30" t="str">
        <x:f>IF(B361="","",MAX($A$5:A360)+1)</x:f>
      </x:c>
      <x:c r="B361" s="30"/>
      <x:c r="C361" s="32"/>
      <x:c r="D361" s="30"/>
      <x:c r="E361" s="30"/>
      <x:c r="F361" s="30"/>
      <x:c r="G361" s="30"/>
      <x:c r="H361" s="34"/>
      <x:c r="I361" s="34"/>
      <x:c r="J361" s="34" t="str">
        <x:f>IF(B361="","",SUMIFS($H$5:$H$500,$B$5:$B$500,B361,$A$5:$A$500,"&lt;="&amp;A361)-SUMIFS($I$5:$I$500,$B$5:$B$500,B361,$A$5:$A$500,"&lt;="&amp;A361))</x:f>
      </x:c>
      <x:c r="K361" s="30" t="str">
        <x:f>IF(B361="","",IF(J361&lt;=0,"ESGOTADO",IF(J361&lt;=Config!$H$2,"SALDO CRÍTICO",IF(J361&lt;=Config!$H$3,"SALDO BAIXO","OK"))))</x:f>
      </x:c>
      <x:c r="L361" s="34"/>
      <x:c r="M361" s="30"/>
    </x:row>
    <x:row r="362">
      <x:c r="A362" s="30" t="str">
        <x:f>IF(B362="","",MAX($A$5:A361)+1)</x:f>
      </x:c>
      <x:c r="B362" s="30"/>
      <x:c r="C362" s="32"/>
      <x:c r="D362" s="30"/>
      <x:c r="E362" s="30"/>
      <x:c r="F362" s="30"/>
      <x:c r="G362" s="30"/>
      <x:c r="H362" s="34"/>
      <x:c r="I362" s="34"/>
      <x:c r="J362" s="34" t="str">
        <x:f>IF(B362="","",SUMIFS($H$5:$H$500,$B$5:$B$500,B362,$A$5:$A$500,"&lt;="&amp;A362)-SUMIFS($I$5:$I$500,$B$5:$B$500,B362,$A$5:$A$500,"&lt;="&amp;A362))</x:f>
      </x:c>
      <x:c r="K362" s="30" t="str">
        <x:f>IF(B362="","",IF(J362&lt;=0,"ESGOTADO",IF(J362&lt;=Config!$H$2,"SALDO CRÍTICO",IF(J362&lt;=Config!$H$3,"SALDO BAIXO","OK"))))</x:f>
      </x:c>
      <x:c r="L362" s="34"/>
      <x:c r="M362" s="30"/>
    </x:row>
    <x:row r="363">
      <x:c r="A363" s="30" t="str">
        <x:f>IF(B363="","",MAX($A$5:A362)+1)</x:f>
      </x:c>
      <x:c r="B363" s="30"/>
      <x:c r="C363" s="32"/>
      <x:c r="D363" s="30"/>
      <x:c r="E363" s="30"/>
      <x:c r="F363" s="30"/>
      <x:c r="G363" s="30"/>
      <x:c r="H363" s="34"/>
      <x:c r="I363" s="34"/>
      <x:c r="J363" s="34" t="str">
        <x:f>IF(B363="","",SUMIFS($H$5:$H$500,$B$5:$B$500,B363,$A$5:$A$500,"&lt;="&amp;A363)-SUMIFS($I$5:$I$500,$B$5:$B$500,B363,$A$5:$A$500,"&lt;="&amp;A363))</x:f>
      </x:c>
      <x:c r="K363" s="30" t="str">
        <x:f>IF(B363="","",IF(J363&lt;=0,"ESGOTADO",IF(J363&lt;=Config!$H$2,"SALDO CRÍTICO",IF(J363&lt;=Config!$H$3,"SALDO BAIXO","OK"))))</x:f>
      </x:c>
      <x:c r="L363" s="34"/>
      <x:c r="M363" s="30"/>
    </x:row>
    <x:row r="364">
      <x:c r="A364" s="30" t="str">
        <x:f>IF(B364="","",MAX($A$5:A363)+1)</x:f>
      </x:c>
      <x:c r="B364" s="30"/>
      <x:c r="C364" s="32"/>
      <x:c r="D364" s="30"/>
      <x:c r="E364" s="30"/>
      <x:c r="F364" s="30"/>
      <x:c r="G364" s="30"/>
      <x:c r="H364" s="34"/>
      <x:c r="I364" s="34"/>
      <x:c r="J364" s="34" t="str">
        <x:f>IF(B364="","",SUMIFS($H$5:$H$500,$B$5:$B$500,B364,$A$5:$A$500,"&lt;="&amp;A364)-SUMIFS($I$5:$I$500,$B$5:$B$500,B364,$A$5:$A$500,"&lt;="&amp;A364))</x:f>
      </x:c>
      <x:c r="K364" s="30" t="str">
        <x:f>IF(B364="","",IF(J364&lt;=0,"ESGOTADO",IF(J364&lt;=Config!$H$2,"SALDO CRÍTICO",IF(J364&lt;=Config!$H$3,"SALDO BAIXO","OK"))))</x:f>
      </x:c>
      <x:c r="L364" s="34"/>
      <x:c r="M364" s="30"/>
    </x:row>
    <x:row r="365">
      <x:c r="A365" s="30" t="str">
        <x:f>IF(B365="","",MAX($A$5:A364)+1)</x:f>
      </x:c>
      <x:c r="B365" s="30"/>
      <x:c r="C365" s="32"/>
      <x:c r="D365" s="30"/>
      <x:c r="E365" s="30"/>
      <x:c r="F365" s="30"/>
      <x:c r="G365" s="30"/>
      <x:c r="H365" s="34"/>
      <x:c r="I365" s="34"/>
      <x:c r="J365" s="34" t="str">
        <x:f>IF(B365="","",SUMIFS($H$5:$H$500,$B$5:$B$500,B365,$A$5:$A$500,"&lt;="&amp;A365)-SUMIFS($I$5:$I$500,$B$5:$B$500,B365,$A$5:$A$500,"&lt;="&amp;A365))</x:f>
      </x:c>
      <x:c r="K365" s="30" t="str">
        <x:f>IF(B365="","",IF(J365&lt;=0,"ESGOTADO",IF(J365&lt;=Config!$H$2,"SALDO CRÍTICO",IF(J365&lt;=Config!$H$3,"SALDO BAIXO","OK"))))</x:f>
      </x:c>
      <x:c r="L365" s="34"/>
      <x:c r="M365" s="30"/>
    </x:row>
    <x:row r="366">
      <x:c r="A366" s="30" t="str">
        <x:f>IF(B366="","",MAX($A$5:A365)+1)</x:f>
      </x:c>
      <x:c r="B366" s="30"/>
      <x:c r="C366" s="32"/>
      <x:c r="D366" s="30"/>
      <x:c r="E366" s="30"/>
      <x:c r="F366" s="30"/>
      <x:c r="G366" s="30"/>
      <x:c r="H366" s="34"/>
      <x:c r="I366" s="34"/>
      <x:c r="J366" s="34" t="str">
        <x:f>IF(B366="","",SUMIFS($H$5:$H$500,$B$5:$B$500,B366,$A$5:$A$500,"&lt;="&amp;A366)-SUMIFS($I$5:$I$500,$B$5:$B$500,B366,$A$5:$A$500,"&lt;="&amp;A366))</x:f>
      </x:c>
      <x:c r="K366" s="30" t="str">
        <x:f>IF(B366="","",IF(J366&lt;=0,"ESGOTADO",IF(J366&lt;=Config!$H$2,"SALDO CRÍTICO",IF(J366&lt;=Config!$H$3,"SALDO BAIXO","OK"))))</x:f>
      </x:c>
      <x:c r="L366" s="34"/>
      <x:c r="M366" s="30"/>
    </x:row>
    <x:row r="367">
      <x:c r="A367" s="30" t="str">
        <x:f>IF(B367="","",MAX($A$5:A366)+1)</x:f>
      </x:c>
      <x:c r="B367" s="30"/>
      <x:c r="C367" s="32"/>
      <x:c r="D367" s="30"/>
      <x:c r="E367" s="30"/>
      <x:c r="F367" s="30"/>
      <x:c r="G367" s="30"/>
      <x:c r="H367" s="34"/>
      <x:c r="I367" s="34"/>
      <x:c r="J367" s="34" t="str">
        <x:f>IF(B367="","",SUMIFS($H$5:$H$500,$B$5:$B$500,B367,$A$5:$A$500,"&lt;="&amp;A367)-SUMIFS($I$5:$I$500,$B$5:$B$500,B367,$A$5:$A$500,"&lt;="&amp;A367))</x:f>
      </x:c>
      <x:c r="K367" s="30" t="str">
        <x:f>IF(B367="","",IF(J367&lt;=0,"ESGOTADO",IF(J367&lt;=Config!$H$2,"SALDO CRÍTICO",IF(J367&lt;=Config!$H$3,"SALDO BAIXO","OK"))))</x:f>
      </x:c>
      <x:c r="L367" s="34"/>
      <x:c r="M367" s="30"/>
    </x:row>
    <x:row r="368">
      <x:c r="A368" s="30" t="str">
        <x:f>IF(B368="","",MAX($A$5:A367)+1)</x:f>
      </x:c>
      <x:c r="B368" s="30"/>
      <x:c r="C368" s="32"/>
      <x:c r="D368" s="30"/>
      <x:c r="E368" s="30"/>
      <x:c r="F368" s="30"/>
      <x:c r="G368" s="30"/>
      <x:c r="H368" s="34"/>
      <x:c r="I368" s="34"/>
      <x:c r="J368" s="34" t="str">
        <x:f>IF(B368="","",SUMIFS($H$5:$H$500,$B$5:$B$500,B368,$A$5:$A$500,"&lt;="&amp;A368)-SUMIFS($I$5:$I$500,$B$5:$B$500,B368,$A$5:$A$500,"&lt;="&amp;A368))</x:f>
      </x:c>
      <x:c r="K368" s="30" t="str">
        <x:f>IF(B368="","",IF(J368&lt;=0,"ESGOTADO",IF(J368&lt;=Config!$H$2,"SALDO CRÍTICO",IF(J368&lt;=Config!$H$3,"SALDO BAIXO","OK"))))</x:f>
      </x:c>
      <x:c r="L368" s="34"/>
      <x:c r="M368" s="30"/>
    </x:row>
    <x:row r="369">
      <x:c r="A369" s="30" t="str">
        <x:f>IF(B369="","",MAX($A$5:A368)+1)</x:f>
      </x:c>
      <x:c r="B369" s="30"/>
      <x:c r="C369" s="32"/>
      <x:c r="D369" s="30"/>
      <x:c r="E369" s="30"/>
      <x:c r="F369" s="30"/>
      <x:c r="G369" s="30"/>
      <x:c r="H369" s="34"/>
      <x:c r="I369" s="34"/>
      <x:c r="J369" s="34" t="str">
        <x:f>IF(B369="","",SUMIFS($H$5:$H$500,$B$5:$B$500,B369,$A$5:$A$500,"&lt;="&amp;A369)-SUMIFS($I$5:$I$500,$B$5:$B$500,B369,$A$5:$A$500,"&lt;="&amp;A369))</x:f>
      </x:c>
      <x:c r="K369" s="30" t="str">
        <x:f>IF(B369="","",IF(J369&lt;=0,"ESGOTADO",IF(J369&lt;=Config!$H$2,"SALDO CRÍTICO",IF(J369&lt;=Config!$H$3,"SALDO BAIXO","OK"))))</x:f>
      </x:c>
      <x:c r="L369" s="34"/>
      <x:c r="M369" s="30"/>
    </x:row>
    <x:row r="370">
      <x:c r="A370" s="30" t="str">
        <x:f>IF(B370="","",MAX($A$5:A369)+1)</x:f>
      </x:c>
      <x:c r="B370" s="30"/>
      <x:c r="C370" s="32"/>
      <x:c r="D370" s="30"/>
      <x:c r="E370" s="30"/>
      <x:c r="F370" s="30"/>
      <x:c r="G370" s="30"/>
      <x:c r="H370" s="34"/>
      <x:c r="I370" s="34"/>
      <x:c r="J370" s="34" t="str">
        <x:f>IF(B370="","",SUMIFS($H$5:$H$500,$B$5:$B$500,B370,$A$5:$A$500,"&lt;="&amp;A370)-SUMIFS($I$5:$I$500,$B$5:$B$500,B370,$A$5:$A$500,"&lt;="&amp;A370))</x:f>
      </x:c>
      <x:c r="K370" s="30" t="str">
        <x:f>IF(B370="","",IF(J370&lt;=0,"ESGOTADO",IF(J370&lt;=Config!$H$2,"SALDO CRÍTICO",IF(J370&lt;=Config!$H$3,"SALDO BAIXO","OK"))))</x:f>
      </x:c>
      <x:c r="L370" s="34"/>
      <x:c r="M370" s="30"/>
    </x:row>
    <x:row r="371">
      <x:c r="A371" s="30" t="str">
        <x:f>IF(B371="","",MAX($A$5:A370)+1)</x:f>
      </x:c>
      <x:c r="B371" s="30"/>
      <x:c r="C371" s="32"/>
      <x:c r="D371" s="30"/>
      <x:c r="E371" s="30"/>
      <x:c r="F371" s="30"/>
      <x:c r="G371" s="30"/>
      <x:c r="H371" s="34"/>
      <x:c r="I371" s="34"/>
      <x:c r="J371" s="34" t="str">
        <x:f>IF(B371="","",SUMIFS($H$5:$H$500,$B$5:$B$500,B371,$A$5:$A$500,"&lt;="&amp;A371)-SUMIFS($I$5:$I$500,$B$5:$B$500,B371,$A$5:$A$500,"&lt;="&amp;A371))</x:f>
      </x:c>
      <x:c r="K371" s="30" t="str">
        <x:f>IF(B371="","",IF(J371&lt;=0,"ESGOTADO",IF(J371&lt;=Config!$H$2,"SALDO CRÍTICO",IF(J371&lt;=Config!$H$3,"SALDO BAIXO","OK"))))</x:f>
      </x:c>
      <x:c r="L371" s="34"/>
      <x:c r="M371" s="30"/>
    </x:row>
    <x:row r="372">
      <x:c r="A372" s="30" t="str">
        <x:f>IF(B372="","",MAX($A$5:A371)+1)</x:f>
      </x:c>
      <x:c r="B372" s="30"/>
      <x:c r="C372" s="32"/>
      <x:c r="D372" s="30"/>
      <x:c r="E372" s="30"/>
      <x:c r="F372" s="30"/>
      <x:c r="G372" s="30"/>
      <x:c r="H372" s="34"/>
      <x:c r="I372" s="34"/>
      <x:c r="J372" s="34" t="str">
        <x:f>IF(B372="","",SUMIFS($H$5:$H$500,$B$5:$B$500,B372,$A$5:$A$500,"&lt;="&amp;A372)-SUMIFS($I$5:$I$500,$B$5:$B$500,B372,$A$5:$A$500,"&lt;="&amp;A372))</x:f>
      </x:c>
      <x:c r="K372" s="30" t="str">
        <x:f>IF(B372="","",IF(J372&lt;=0,"ESGOTADO",IF(J372&lt;=Config!$H$2,"SALDO CRÍTICO",IF(J372&lt;=Config!$H$3,"SALDO BAIXO","OK"))))</x:f>
      </x:c>
      <x:c r="L372" s="34"/>
      <x:c r="M372" s="30"/>
    </x:row>
    <x:row r="373">
      <x:c r="A373" s="30" t="str">
        <x:f>IF(B373="","",MAX($A$5:A372)+1)</x:f>
      </x:c>
      <x:c r="B373" s="30"/>
      <x:c r="C373" s="32"/>
      <x:c r="D373" s="30"/>
      <x:c r="E373" s="30"/>
      <x:c r="F373" s="30"/>
      <x:c r="G373" s="30"/>
      <x:c r="H373" s="34"/>
      <x:c r="I373" s="34"/>
      <x:c r="J373" s="34" t="str">
        <x:f>IF(B373="","",SUMIFS($H$5:$H$500,$B$5:$B$500,B373,$A$5:$A$500,"&lt;="&amp;A373)-SUMIFS($I$5:$I$500,$B$5:$B$500,B373,$A$5:$A$500,"&lt;="&amp;A373))</x:f>
      </x:c>
      <x:c r="K373" s="30" t="str">
        <x:f>IF(B373="","",IF(J373&lt;=0,"ESGOTADO",IF(J373&lt;=Config!$H$2,"SALDO CRÍTICO",IF(J373&lt;=Config!$H$3,"SALDO BAIXO","OK"))))</x:f>
      </x:c>
      <x:c r="L373" s="34"/>
      <x:c r="M373" s="30"/>
    </x:row>
    <x:row r="374">
      <x:c r="A374" s="30" t="str">
        <x:f>IF(B374="","",MAX($A$5:A373)+1)</x:f>
      </x:c>
      <x:c r="B374" s="30"/>
      <x:c r="C374" s="32"/>
      <x:c r="D374" s="30"/>
      <x:c r="E374" s="30"/>
      <x:c r="F374" s="30"/>
      <x:c r="G374" s="30"/>
      <x:c r="H374" s="34"/>
      <x:c r="I374" s="34"/>
      <x:c r="J374" s="34" t="str">
        <x:f>IF(B374="","",SUMIFS($H$5:$H$500,$B$5:$B$500,B374,$A$5:$A$500,"&lt;="&amp;A374)-SUMIFS($I$5:$I$500,$B$5:$B$500,B374,$A$5:$A$500,"&lt;="&amp;A374))</x:f>
      </x:c>
      <x:c r="K374" s="30" t="str">
        <x:f>IF(B374="","",IF(J374&lt;=0,"ESGOTADO",IF(J374&lt;=Config!$H$2,"SALDO CRÍTICO",IF(J374&lt;=Config!$H$3,"SALDO BAIXO","OK"))))</x:f>
      </x:c>
      <x:c r="L374" s="34"/>
      <x:c r="M374" s="30"/>
    </x:row>
    <x:row r="375">
      <x:c r="A375" s="30" t="str">
        <x:f>IF(B375="","",MAX($A$5:A374)+1)</x:f>
      </x:c>
      <x:c r="B375" s="30"/>
      <x:c r="C375" s="32"/>
      <x:c r="D375" s="30"/>
      <x:c r="E375" s="30"/>
      <x:c r="F375" s="30"/>
      <x:c r="G375" s="30"/>
      <x:c r="H375" s="34"/>
      <x:c r="I375" s="34"/>
      <x:c r="J375" s="34" t="str">
        <x:f>IF(B375="","",SUMIFS($H$5:$H$500,$B$5:$B$500,B375,$A$5:$A$500,"&lt;="&amp;A375)-SUMIFS($I$5:$I$500,$B$5:$B$500,B375,$A$5:$A$500,"&lt;="&amp;A375))</x:f>
      </x:c>
      <x:c r="K375" s="30" t="str">
        <x:f>IF(B375="","",IF(J375&lt;=0,"ESGOTADO",IF(J375&lt;=Config!$H$2,"SALDO CRÍTICO",IF(J375&lt;=Config!$H$3,"SALDO BAIXO","OK"))))</x:f>
      </x:c>
      <x:c r="L375" s="34"/>
      <x:c r="M375" s="30"/>
    </x:row>
    <x:row r="376">
      <x:c r="A376" s="30" t="str">
        <x:f>IF(B376="","",MAX($A$5:A375)+1)</x:f>
      </x:c>
      <x:c r="B376" s="30"/>
      <x:c r="C376" s="32"/>
      <x:c r="D376" s="30"/>
      <x:c r="E376" s="30"/>
      <x:c r="F376" s="30"/>
      <x:c r="G376" s="30"/>
      <x:c r="H376" s="34"/>
      <x:c r="I376" s="34"/>
      <x:c r="J376" s="34" t="str">
        <x:f>IF(B376="","",SUMIFS($H$5:$H$500,$B$5:$B$500,B376,$A$5:$A$500,"&lt;="&amp;A376)-SUMIFS($I$5:$I$500,$B$5:$B$500,B376,$A$5:$A$500,"&lt;="&amp;A376))</x:f>
      </x:c>
      <x:c r="K376" s="30" t="str">
        <x:f>IF(B376="","",IF(J376&lt;=0,"ESGOTADO",IF(J376&lt;=Config!$H$2,"SALDO CRÍTICO",IF(J376&lt;=Config!$H$3,"SALDO BAIXO","OK"))))</x:f>
      </x:c>
      <x:c r="L376" s="34"/>
      <x:c r="M376" s="30"/>
    </x:row>
    <x:row r="377">
      <x:c r="A377" s="30" t="str">
        <x:f>IF(B377="","",MAX($A$5:A376)+1)</x:f>
      </x:c>
      <x:c r="B377" s="30"/>
      <x:c r="C377" s="32"/>
      <x:c r="D377" s="30"/>
      <x:c r="E377" s="30"/>
      <x:c r="F377" s="30"/>
      <x:c r="G377" s="30"/>
      <x:c r="H377" s="34"/>
      <x:c r="I377" s="34"/>
      <x:c r="J377" s="34" t="str">
        <x:f>IF(B377="","",SUMIFS($H$5:$H$500,$B$5:$B$500,B377,$A$5:$A$500,"&lt;="&amp;A377)-SUMIFS($I$5:$I$500,$B$5:$B$500,B377,$A$5:$A$500,"&lt;="&amp;A377))</x:f>
      </x:c>
      <x:c r="K377" s="30" t="str">
        <x:f>IF(B377="","",IF(J377&lt;=0,"ESGOTADO",IF(J377&lt;=Config!$H$2,"SALDO CRÍTICO",IF(J377&lt;=Config!$H$3,"SALDO BAIXO","OK"))))</x:f>
      </x:c>
      <x:c r="L377" s="34"/>
      <x:c r="M377" s="30"/>
    </x:row>
    <x:row r="378">
      <x:c r="A378" s="30" t="str">
        <x:f>IF(B378="","",MAX($A$5:A377)+1)</x:f>
      </x:c>
      <x:c r="B378" s="30"/>
      <x:c r="C378" s="32"/>
      <x:c r="D378" s="30"/>
      <x:c r="E378" s="30"/>
      <x:c r="F378" s="30"/>
      <x:c r="G378" s="30"/>
      <x:c r="H378" s="34"/>
      <x:c r="I378" s="34"/>
      <x:c r="J378" s="34" t="str">
        <x:f>IF(B378="","",SUMIFS($H$5:$H$500,$B$5:$B$500,B378,$A$5:$A$500,"&lt;="&amp;A378)-SUMIFS($I$5:$I$500,$B$5:$B$500,B378,$A$5:$A$500,"&lt;="&amp;A378))</x:f>
      </x:c>
      <x:c r="K378" s="30" t="str">
        <x:f>IF(B378="","",IF(J378&lt;=0,"ESGOTADO",IF(J378&lt;=Config!$H$2,"SALDO CRÍTICO",IF(J378&lt;=Config!$H$3,"SALDO BAIXO","OK"))))</x:f>
      </x:c>
      <x:c r="L378" s="34"/>
      <x:c r="M378" s="30"/>
    </x:row>
    <x:row r="379">
      <x:c r="A379" s="30" t="str">
        <x:f>IF(B379="","",MAX($A$5:A378)+1)</x:f>
      </x:c>
      <x:c r="B379" s="30"/>
      <x:c r="C379" s="32"/>
      <x:c r="D379" s="30"/>
      <x:c r="E379" s="30"/>
      <x:c r="F379" s="30"/>
      <x:c r="G379" s="30"/>
      <x:c r="H379" s="34"/>
      <x:c r="I379" s="34"/>
      <x:c r="J379" s="34" t="str">
        <x:f>IF(B379="","",SUMIFS($H$5:$H$500,$B$5:$B$500,B379,$A$5:$A$500,"&lt;="&amp;A379)-SUMIFS($I$5:$I$500,$B$5:$B$500,B379,$A$5:$A$500,"&lt;="&amp;A379))</x:f>
      </x:c>
      <x:c r="K379" s="30" t="str">
        <x:f>IF(B379="","",IF(J379&lt;=0,"ESGOTADO",IF(J379&lt;=Config!$H$2,"SALDO CRÍTICO",IF(J379&lt;=Config!$H$3,"SALDO BAIXO","OK"))))</x:f>
      </x:c>
      <x:c r="L379" s="34"/>
      <x:c r="M379" s="30"/>
    </x:row>
    <x:row r="380">
      <x:c r="A380" s="30" t="str">
        <x:f>IF(B380="","",MAX($A$5:A379)+1)</x:f>
      </x:c>
      <x:c r="B380" s="30"/>
      <x:c r="C380" s="32"/>
      <x:c r="D380" s="30"/>
      <x:c r="E380" s="30"/>
      <x:c r="F380" s="30"/>
      <x:c r="G380" s="30"/>
      <x:c r="H380" s="34"/>
      <x:c r="I380" s="34"/>
      <x:c r="J380" s="34" t="str">
        <x:f>IF(B380="","",SUMIFS($H$5:$H$500,$B$5:$B$500,B380,$A$5:$A$500,"&lt;="&amp;A380)-SUMIFS($I$5:$I$500,$B$5:$B$500,B380,$A$5:$A$500,"&lt;="&amp;A380))</x:f>
      </x:c>
      <x:c r="K380" s="30" t="str">
        <x:f>IF(B380="","",IF(J380&lt;=0,"ESGOTADO",IF(J380&lt;=Config!$H$2,"SALDO CRÍTICO",IF(J380&lt;=Config!$H$3,"SALDO BAIXO","OK"))))</x:f>
      </x:c>
      <x:c r="L380" s="34"/>
      <x:c r="M380" s="30"/>
    </x:row>
    <x:row r="381">
      <x:c r="A381" s="30" t="str">
        <x:f>IF(B381="","",MAX($A$5:A380)+1)</x:f>
      </x:c>
      <x:c r="B381" s="30"/>
      <x:c r="C381" s="32"/>
      <x:c r="D381" s="30"/>
      <x:c r="E381" s="30"/>
      <x:c r="F381" s="30"/>
      <x:c r="G381" s="30"/>
      <x:c r="H381" s="34"/>
      <x:c r="I381" s="34"/>
      <x:c r="J381" s="34" t="str">
        <x:f>IF(B381="","",SUMIFS($H$5:$H$500,$B$5:$B$500,B381,$A$5:$A$500,"&lt;="&amp;A381)-SUMIFS($I$5:$I$500,$B$5:$B$500,B381,$A$5:$A$500,"&lt;="&amp;A381))</x:f>
      </x:c>
      <x:c r="K381" s="30" t="str">
        <x:f>IF(B381="","",IF(J381&lt;=0,"ESGOTADO",IF(J381&lt;=Config!$H$2,"SALDO CRÍTICO",IF(J381&lt;=Config!$H$3,"SALDO BAIXO","OK"))))</x:f>
      </x:c>
      <x:c r="L381" s="34"/>
      <x:c r="M381" s="30"/>
    </x:row>
    <x:row r="382">
      <x:c r="A382" s="30" t="str">
        <x:f>IF(B382="","",MAX($A$5:A381)+1)</x:f>
      </x:c>
      <x:c r="B382" s="30"/>
      <x:c r="C382" s="32"/>
      <x:c r="D382" s="30"/>
      <x:c r="E382" s="30"/>
      <x:c r="F382" s="30"/>
      <x:c r="G382" s="30"/>
      <x:c r="H382" s="34"/>
      <x:c r="I382" s="34"/>
      <x:c r="J382" s="34" t="str">
        <x:f>IF(B382="","",SUMIFS($H$5:$H$500,$B$5:$B$500,B382,$A$5:$A$500,"&lt;="&amp;A382)-SUMIFS($I$5:$I$500,$B$5:$B$500,B382,$A$5:$A$500,"&lt;="&amp;A382))</x:f>
      </x:c>
      <x:c r="K382" s="30" t="str">
        <x:f>IF(B382="","",IF(J382&lt;=0,"ESGOTADO",IF(J382&lt;=Config!$H$2,"SALDO CRÍTICO",IF(J382&lt;=Config!$H$3,"SALDO BAIXO","OK"))))</x:f>
      </x:c>
      <x:c r="L382" s="34"/>
      <x:c r="M382" s="30"/>
    </x:row>
    <x:row r="383">
      <x:c r="A383" s="30" t="str">
        <x:f>IF(B383="","",MAX($A$5:A382)+1)</x:f>
      </x:c>
      <x:c r="B383" s="30"/>
      <x:c r="C383" s="32"/>
      <x:c r="D383" s="30"/>
      <x:c r="E383" s="30"/>
      <x:c r="F383" s="30"/>
      <x:c r="G383" s="30"/>
      <x:c r="H383" s="34"/>
      <x:c r="I383" s="34"/>
      <x:c r="J383" s="34" t="str">
        <x:f>IF(B383="","",SUMIFS($H$5:$H$500,$B$5:$B$500,B383,$A$5:$A$500,"&lt;="&amp;A383)-SUMIFS($I$5:$I$500,$B$5:$B$500,B383,$A$5:$A$500,"&lt;="&amp;A383))</x:f>
      </x:c>
      <x:c r="K383" s="30" t="str">
        <x:f>IF(B383="","",IF(J383&lt;=0,"ESGOTADO",IF(J383&lt;=Config!$H$2,"SALDO CRÍTICO",IF(J383&lt;=Config!$H$3,"SALDO BAIXO","OK"))))</x:f>
      </x:c>
      <x:c r="L383" s="34"/>
      <x:c r="M383" s="30"/>
    </x:row>
    <x:row r="384">
      <x:c r="A384" s="30" t="str">
        <x:f>IF(B384="","",MAX($A$5:A383)+1)</x:f>
      </x:c>
      <x:c r="B384" s="30"/>
      <x:c r="C384" s="32"/>
      <x:c r="D384" s="30"/>
      <x:c r="E384" s="30"/>
      <x:c r="F384" s="30"/>
      <x:c r="G384" s="30"/>
      <x:c r="H384" s="34"/>
      <x:c r="I384" s="34"/>
      <x:c r="J384" s="34" t="str">
        <x:f>IF(B384="","",SUMIFS($H$5:$H$500,$B$5:$B$500,B384,$A$5:$A$500,"&lt;="&amp;A384)-SUMIFS($I$5:$I$500,$B$5:$B$500,B384,$A$5:$A$500,"&lt;="&amp;A384))</x:f>
      </x:c>
      <x:c r="K384" s="30" t="str">
        <x:f>IF(B384="","",IF(J384&lt;=0,"ESGOTADO",IF(J384&lt;=Config!$H$2,"SALDO CRÍTICO",IF(J384&lt;=Config!$H$3,"SALDO BAIXO","OK"))))</x:f>
      </x:c>
      <x:c r="L384" s="34"/>
      <x:c r="M384" s="30"/>
    </x:row>
    <x:row r="385">
      <x:c r="A385" s="30" t="str">
        <x:f>IF(B385="","",MAX($A$5:A384)+1)</x:f>
      </x:c>
      <x:c r="B385" s="30"/>
      <x:c r="C385" s="32"/>
      <x:c r="D385" s="30"/>
      <x:c r="E385" s="30"/>
      <x:c r="F385" s="30"/>
      <x:c r="G385" s="30"/>
      <x:c r="H385" s="34"/>
      <x:c r="I385" s="34"/>
      <x:c r="J385" s="34" t="str">
        <x:f>IF(B385="","",SUMIFS($H$5:$H$500,$B$5:$B$500,B385,$A$5:$A$500,"&lt;="&amp;A385)-SUMIFS($I$5:$I$500,$B$5:$B$500,B385,$A$5:$A$500,"&lt;="&amp;A385))</x:f>
      </x:c>
      <x:c r="K385" s="30" t="str">
        <x:f>IF(B385="","",IF(J385&lt;=0,"ESGOTADO",IF(J385&lt;=Config!$H$2,"SALDO CRÍTICO",IF(J385&lt;=Config!$H$3,"SALDO BAIXO","OK"))))</x:f>
      </x:c>
      <x:c r="L385" s="34"/>
      <x:c r="M385" s="30"/>
    </x:row>
    <x:row r="386">
      <x:c r="A386" s="30" t="str">
        <x:f>IF(B386="","",MAX($A$5:A385)+1)</x:f>
      </x:c>
      <x:c r="B386" s="30"/>
      <x:c r="C386" s="32"/>
      <x:c r="D386" s="30"/>
      <x:c r="E386" s="30"/>
      <x:c r="F386" s="30"/>
      <x:c r="G386" s="30"/>
      <x:c r="H386" s="34"/>
      <x:c r="I386" s="34"/>
      <x:c r="J386" s="34" t="str">
        <x:f>IF(B386="","",SUMIFS($H$5:$H$500,$B$5:$B$500,B386,$A$5:$A$500,"&lt;="&amp;A386)-SUMIFS($I$5:$I$500,$B$5:$B$500,B386,$A$5:$A$500,"&lt;="&amp;A386))</x:f>
      </x:c>
      <x:c r="K386" s="30" t="str">
        <x:f>IF(B386="","",IF(J386&lt;=0,"ESGOTADO",IF(J386&lt;=Config!$H$2,"SALDO CRÍTICO",IF(J386&lt;=Config!$H$3,"SALDO BAIXO","OK"))))</x:f>
      </x:c>
      <x:c r="L386" s="34"/>
      <x:c r="M386" s="30"/>
    </x:row>
    <x:row r="387">
      <x:c r="A387" s="30" t="str">
        <x:f>IF(B387="","",MAX($A$5:A386)+1)</x:f>
      </x:c>
      <x:c r="B387" s="30"/>
      <x:c r="C387" s="32"/>
      <x:c r="D387" s="30"/>
      <x:c r="E387" s="30"/>
      <x:c r="F387" s="30"/>
      <x:c r="G387" s="30"/>
      <x:c r="H387" s="34"/>
      <x:c r="I387" s="34"/>
      <x:c r="J387" s="34" t="str">
        <x:f>IF(B387="","",SUMIFS($H$5:$H$500,$B$5:$B$500,B387,$A$5:$A$500,"&lt;="&amp;A387)-SUMIFS($I$5:$I$500,$B$5:$B$500,B387,$A$5:$A$500,"&lt;="&amp;A387))</x:f>
      </x:c>
      <x:c r="K387" s="30" t="str">
        <x:f>IF(B387="","",IF(J387&lt;=0,"ESGOTADO",IF(J387&lt;=Config!$H$2,"SALDO CRÍTICO",IF(J387&lt;=Config!$H$3,"SALDO BAIXO","OK"))))</x:f>
      </x:c>
      <x:c r="L387" s="34"/>
      <x:c r="M387" s="30"/>
    </x:row>
    <x:row r="388">
      <x:c r="A388" s="30" t="str">
        <x:f>IF(B388="","",MAX($A$5:A387)+1)</x:f>
      </x:c>
      <x:c r="B388" s="30"/>
      <x:c r="C388" s="32"/>
      <x:c r="D388" s="30"/>
      <x:c r="E388" s="30"/>
      <x:c r="F388" s="30"/>
      <x:c r="G388" s="30"/>
      <x:c r="H388" s="34"/>
      <x:c r="I388" s="34"/>
      <x:c r="J388" s="34" t="str">
        <x:f>IF(B388="","",SUMIFS($H$5:$H$500,$B$5:$B$500,B388,$A$5:$A$500,"&lt;="&amp;A388)-SUMIFS($I$5:$I$500,$B$5:$B$500,B388,$A$5:$A$500,"&lt;="&amp;A388))</x:f>
      </x:c>
      <x:c r="K388" s="30" t="str">
        <x:f>IF(B388="","",IF(J388&lt;=0,"ESGOTADO",IF(J388&lt;=Config!$H$2,"SALDO CRÍTICO",IF(J388&lt;=Config!$H$3,"SALDO BAIXO","OK"))))</x:f>
      </x:c>
      <x:c r="L388" s="34"/>
      <x:c r="M388" s="30"/>
    </x:row>
    <x:row r="389">
      <x:c r="A389" s="30" t="str">
        <x:f>IF(B389="","",MAX($A$5:A388)+1)</x:f>
      </x:c>
      <x:c r="B389" s="30"/>
      <x:c r="C389" s="32"/>
      <x:c r="D389" s="30"/>
      <x:c r="E389" s="30"/>
      <x:c r="F389" s="30"/>
      <x:c r="G389" s="30"/>
      <x:c r="H389" s="34"/>
      <x:c r="I389" s="34"/>
      <x:c r="J389" s="34" t="str">
        <x:f>IF(B389="","",SUMIFS($H$5:$H$500,$B$5:$B$500,B389,$A$5:$A$500,"&lt;="&amp;A389)-SUMIFS($I$5:$I$500,$B$5:$B$500,B389,$A$5:$A$500,"&lt;="&amp;A389))</x:f>
      </x:c>
      <x:c r="K389" s="30" t="str">
        <x:f>IF(B389="","",IF(J389&lt;=0,"ESGOTADO",IF(J389&lt;=Config!$H$2,"SALDO CRÍTICO",IF(J389&lt;=Config!$H$3,"SALDO BAIXO","OK"))))</x:f>
      </x:c>
      <x:c r="L389" s="34"/>
      <x:c r="M389" s="30"/>
    </x:row>
    <x:row r="390">
      <x:c r="A390" s="30" t="str">
        <x:f>IF(B390="","",MAX($A$5:A389)+1)</x:f>
      </x:c>
      <x:c r="B390" s="30"/>
      <x:c r="C390" s="32"/>
      <x:c r="D390" s="30"/>
      <x:c r="E390" s="30"/>
      <x:c r="F390" s="30"/>
      <x:c r="G390" s="30"/>
      <x:c r="H390" s="34"/>
      <x:c r="I390" s="34"/>
      <x:c r="J390" s="34" t="str">
        <x:f>IF(B390="","",SUMIFS($H$5:$H$500,$B$5:$B$500,B390,$A$5:$A$500,"&lt;="&amp;A390)-SUMIFS($I$5:$I$500,$B$5:$B$500,B390,$A$5:$A$500,"&lt;="&amp;A390))</x:f>
      </x:c>
      <x:c r="K390" s="30" t="str">
        <x:f>IF(B390="","",IF(J390&lt;=0,"ESGOTADO",IF(J390&lt;=Config!$H$2,"SALDO CRÍTICO",IF(J390&lt;=Config!$H$3,"SALDO BAIXO","OK"))))</x:f>
      </x:c>
      <x:c r="L390" s="34"/>
      <x:c r="M390" s="30"/>
    </x:row>
    <x:row r="391">
      <x:c r="A391" s="30" t="str">
        <x:f>IF(B391="","",MAX($A$5:A390)+1)</x:f>
      </x:c>
      <x:c r="B391" s="30"/>
      <x:c r="C391" s="32"/>
      <x:c r="D391" s="30"/>
      <x:c r="E391" s="30"/>
      <x:c r="F391" s="30"/>
      <x:c r="G391" s="30"/>
      <x:c r="H391" s="34"/>
      <x:c r="I391" s="34"/>
      <x:c r="J391" s="34" t="str">
        <x:f>IF(B391="","",SUMIFS($H$5:$H$500,$B$5:$B$500,B391,$A$5:$A$500,"&lt;="&amp;A391)-SUMIFS($I$5:$I$500,$B$5:$B$500,B391,$A$5:$A$500,"&lt;="&amp;A391))</x:f>
      </x:c>
      <x:c r="K391" s="30" t="str">
        <x:f>IF(B391="","",IF(J391&lt;=0,"ESGOTADO",IF(J391&lt;=Config!$H$2,"SALDO CRÍTICO",IF(J391&lt;=Config!$H$3,"SALDO BAIXO","OK"))))</x:f>
      </x:c>
      <x:c r="L391" s="34"/>
      <x:c r="M391" s="30"/>
    </x:row>
    <x:row r="392">
      <x:c r="A392" s="30" t="str">
        <x:f>IF(B392="","",MAX($A$5:A391)+1)</x:f>
      </x:c>
      <x:c r="B392" s="30"/>
      <x:c r="C392" s="32"/>
      <x:c r="D392" s="30"/>
      <x:c r="E392" s="30"/>
      <x:c r="F392" s="30"/>
      <x:c r="G392" s="30"/>
      <x:c r="H392" s="34"/>
      <x:c r="I392" s="34"/>
      <x:c r="J392" s="34" t="str">
        <x:f>IF(B392="","",SUMIFS($H$5:$H$500,$B$5:$B$500,B392,$A$5:$A$500,"&lt;="&amp;A392)-SUMIFS($I$5:$I$500,$B$5:$B$500,B392,$A$5:$A$500,"&lt;="&amp;A392))</x:f>
      </x:c>
      <x:c r="K392" s="30" t="str">
        <x:f>IF(B392="","",IF(J392&lt;=0,"ESGOTADO",IF(J392&lt;=Config!$H$2,"SALDO CRÍTICO",IF(J392&lt;=Config!$H$3,"SALDO BAIXO","OK"))))</x:f>
      </x:c>
      <x:c r="L392" s="34"/>
      <x:c r="M392" s="30"/>
    </x:row>
    <x:row r="393">
      <x:c r="A393" s="30" t="str">
        <x:f>IF(B393="","",MAX($A$5:A392)+1)</x:f>
      </x:c>
      <x:c r="B393" s="30"/>
      <x:c r="C393" s="32"/>
      <x:c r="D393" s="30"/>
      <x:c r="E393" s="30"/>
      <x:c r="F393" s="30"/>
      <x:c r="G393" s="30"/>
      <x:c r="H393" s="34"/>
      <x:c r="I393" s="34"/>
      <x:c r="J393" s="34" t="str">
        <x:f>IF(B393="","",SUMIFS($H$5:$H$500,$B$5:$B$500,B393,$A$5:$A$500,"&lt;="&amp;A393)-SUMIFS($I$5:$I$500,$B$5:$B$500,B393,$A$5:$A$500,"&lt;="&amp;A393))</x:f>
      </x:c>
      <x:c r="K393" s="30" t="str">
        <x:f>IF(B393="","",IF(J393&lt;=0,"ESGOTADO",IF(J393&lt;=Config!$H$2,"SALDO CRÍTICO",IF(J393&lt;=Config!$H$3,"SALDO BAIXO","OK"))))</x:f>
      </x:c>
      <x:c r="L393" s="34"/>
      <x:c r="M393" s="30"/>
    </x:row>
    <x:row r="394">
      <x:c r="A394" s="30" t="str">
        <x:f>IF(B394="","",MAX($A$5:A393)+1)</x:f>
      </x:c>
      <x:c r="B394" s="30"/>
      <x:c r="C394" s="32"/>
      <x:c r="D394" s="30"/>
      <x:c r="E394" s="30"/>
      <x:c r="F394" s="30"/>
      <x:c r="G394" s="30"/>
      <x:c r="H394" s="34"/>
      <x:c r="I394" s="34"/>
      <x:c r="J394" s="34" t="str">
        <x:f>IF(B394="","",SUMIFS($H$5:$H$500,$B$5:$B$500,B394,$A$5:$A$500,"&lt;="&amp;A394)-SUMIFS($I$5:$I$500,$B$5:$B$500,B394,$A$5:$A$500,"&lt;="&amp;A394))</x:f>
      </x:c>
      <x:c r="K394" s="30" t="str">
        <x:f>IF(B394="","",IF(J394&lt;=0,"ESGOTADO",IF(J394&lt;=Config!$H$2,"SALDO CRÍTICO",IF(J394&lt;=Config!$H$3,"SALDO BAIXO","OK"))))</x:f>
      </x:c>
      <x:c r="L394" s="34"/>
      <x:c r="M394" s="30"/>
    </x:row>
    <x:row r="395">
      <x:c r="A395" s="30" t="str">
        <x:f>IF(B395="","",MAX($A$5:A394)+1)</x:f>
      </x:c>
      <x:c r="B395" s="30"/>
      <x:c r="C395" s="32"/>
      <x:c r="D395" s="30"/>
      <x:c r="E395" s="30"/>
      <x:c r="F395" s="30"/>
      <x:c r="G395" s="30"/>
      <x:c r="H395" s="34"/>
      <x:c r="I395" s="34"/>
      <x:c r="J395" s="34" t="str">
        <x:f>IF(B395="","",SUMIFS($H$5:$H$500,$B$5:$B$500,B395,$A$5:$A$500,"&lt;="&amp;A395)-SUMIFS($I$5:$I$500,$B$5:$B$500,B395,$A$5:$A$500,"&lt;="&amp;A395))</x:f>
      </x:c>
      <x:c r="K395" s="30" t="str">
        <x:f>IF(B395="","",IF(J395&lt;=0,"ESGOTADO",IF(J395&lt;=Config!$H$2,"SALDO CRÍTICO",IF(J395&lt;=Config!$H$3,"SALDO BAIXO","OK"))))</x:f>
      </x:c>
      <x:c r="L395" s="34"/>
      <x:c r="M395" s="30"/>
    </x:row>
    <x:row r="396">
      <x:c r="A396" s="30" t="str">
        <x:f>IF(B396="","",MAX($A$5:A395)+1)</x:f>
      </x:c>
      <x:c r="B396" s="30"/>
      <x:c r="C396" s="32"/>
      <x:c r="D396" s="30"/>
      <x:c r="E396" s="30"/>
      <x:c r="F396" s="30"/>
      <x:c r="G396" s="30"/>
      <x:c r="H396" s="34"/>
      <x:c r="I396" s="34"/>
      <x:c r="J396" s="34" t="str">
        <x:f>IF(B396="","",SUMIFS($H$5:$H$500,$B$5:$B$500,B396,$A$5:$A$500,"&lt;="&amp;A396)-SUMIFS($I$5:$I$500,$B$5:$B$500,B396,$A$5:$A$500,"&lt;="&amp;A396))</x:f>
      </x:c>
      <x:c r="K396" s="30" t="str">
        <x:f>IF(B396="","",IF(J396&lt;=0,"ESGOTADO",IF(J396&lt;=Config!$H$2,"SALDO CRÍTICO",IF(J396&lt;=Config!$H$3,"SALDO BAIXO","OK"))))</x:f>
      </x:c>
      <x:c r="L396" s="34"/>
      <x:c r="M396" s="30"/>
    </x:row>
    <x:row r="397">
      <x:c r="A397" s="30" t="str">
        <x:f>IF(B397="","",MAX($A$5:A396)+1)</x:f>
      </x:c>
      <x:c r="B397" s="30"/>
      <x:c r="C397" s="32"/>
      <x:c r="D397" s="30"/>
      <x:c r="E397" s="30"/>
      <x:c r="F397" s="30"/>
      <x:c r="G397" s="30"/>
      <x:c r="H397" s="34"/>
      <x:c r="I397" s="34"/>
      <x:c r="J397" s="34" t="str">
        <x:f>IF(B397="","",SUMIFS($H$5:$H$500,$B$5:$B$500,B397,$A$5:$A$500,"&lt;="&amp;A397)-SUMIFS($I$5:$I$500,$B$5:$B$500,B397,$A$5:$A$500,"&lt;="&amp;A397))</x:f>
      </x:c>
      <x:c r="K397" s="30" t="str">
        <x:f>IF(B397="","",IF(J397&lt;=0,"ESGOTADO",IF(J397&lt;=Config!$H$2,"SALDO CRÍTICO",IF(J397&lt;=Config!$H$3,"SALDO BAIXO","OK"))))</x:f>
      </x:c>
      <x:c r="L397" s="34"/>
      <x:c r="M397" s="30"/>
    </x:row>
    <x:row r="398">
      <x:c r="A398" s="30" t="str">
        <x:f>IF(B398="","",MAX($A$5:A397)+1)</x:f>
      </x:c>
      <x:c r="B398" s="30"/>
      <x:c r="C398" s="32"/>
      <x:c r="D398" s="30"/>
      <x:c r="E398" s="30"/>
      <x:c r="F398" s="30"/>
      <x:c r="G398" s="30"/>
      <x:c r="H398" s="34"/>
      <x:c r="I398" s="34"/>
      <x:c r="J398" s="34" t="str">
        <x:f>IF(B398="","",SUMIFS($H$5:$H$500,$B$5:$B$500,B398,$A$5:$A$500,"&lt;="&amp;A398)-SUMIFS($I$5:$I$500,$B$5:$B$500,B398,$A$5:$A$500,"&lt;="&amp;A398))</x:f>
      </x:c>
      <x:c r="K398" s="30" t="str">
        <x:f>IF(B398="","",IF(J398&lt;=0,"ESGOTADO",IF(J398&lt;=Config!$H$2,"SALDO CRÍTICO",IF(J398&lt;=Config!$H$3,"SALDO BAIXO","OK"))))</x:f>
      </x:c>
      <x:c r="L398" s="34"/>
      <x:c r="M398" s="30"/>
    </x:row>
    <x:row r="399">
      <x:c r="A399" s="30" t="str">
        <x:f>IF(B399="","",MAX($A$5:A398)+1)</x:f>
      </x:c>
      <x:c r="B399" s="30"/>
      <x:c r="C399" s="32"/>
      <x:c r="D399" s="30"/>
      <x:c r="E399" s="30"/>
      <x:c r="F399" s="30"/>
      <x:c r="G399" s="30"/>
      <x:c r="H399" s="34"/>
      <x:c r="I399" s="34"/>
      <x:c r="J399" s="34" t="str">
        <x:f>IF(B399="","",SUMIFS($H$5:$H$500,$B$5:$B$500,B399,$A$5:$A$500,"&lt;="&amp;A399)-SUMIFS($I$5:$I$500,$B$5:$B$500,B399,$A$5:$A$500,"&lt;="&amp;A399))</x:f>
      </x:c>
      <x:c r="K399" s="30" t="str">
        <x:f>IF(B399="","",IF(J399&lt;=0,"ESGOTADO",IF(J399&lt;=Config!$H$2,"SALDO CRÍTICO",IF(J399&lt;=Config!$H$3,"SALDO BAIXO","OK"))))</x:f>
      </x:c>
      <x:c r="L399" s="34"/>
      <x:c r="M399" s="30"/>
    </x:row>
    <x:row r="400">
      <x:c r="A400" s="30" t="str">
        <x:f>IF(B400="","",MAX($A$5:A399)+1)</x:f>
      </x:c>
      <x:c r="B400" s="30"/>
      <x:c r="C400" s="32"/>
      <x:c r="D400" s="30"/>
      <x:c r="E400" s="30"/>
      <x:c r="F400" s="30"/>
      <x:c r="G400" s="30"/>
      <x:c r="H400" s="34"/>
      <x:c r="I400" s="34"/>
      <x:c r="J400" s="34" t="str">
        <x:f>IF(B400="","",SUMIFS($H$5:$H$500,$B$5:$B$500,B400,$A$5:$A$500,"&lt;="&amp;A400)-SUMIFS($I$5:$I$500,$B$5:$B$500,B400,$A$5:$A$500,"&lt;="&amp;A400))</x:f>
      </x:c>
      <x:c r="K400" s="30" t="str">
        <x:f>IF(B400="","",IF(J400&lt;=0,"ESGOTADO",IF(J400&lt;=Config!$H$2,"SALDO CRÍTICO",IF(J400&lt;=Config!$H$3,"SALDO BAIXO","OK"))))</x:f>
      </x:c>
      <x:c r="L400" s="34"/>
      <x:c r="M400" s="30"/>
    </x:row>
    <x:row r="401">
      <x:c r="A401" s="30" t="str">
        <x:f>IF(B401="","",MAX($A$5:A400)+1)</x:f>
      </x:c>
      <x:c r="B401" s="30"/>
      <x:c r="C401" s="32"/>
      <x:c r="D401" s="30"/>
      <x:c r="E401" s="30"/>
      <x:c r="F401" s="30"/>
      <x:c r="G401" s="30"/>
      <x:c r="H401" s="34"/>
      <x:c r="I401" s="34"/>
      <x:c r="J401" s="34" t="str">
        <x:f>IF(B401="","",SUMIFS($H$5:$H$500,$B$5:$B$500,B401,$A$5:$A$500,"&lt;="&amp;A401)-SUMIFS($I$5:$I$500,$B$5:$B$500,B401,$A$5:$A$500,"&lt;="&amp;A401))</x:f>
      </x:c>
      <x:c r="K401" s="30" t="str">
        <x:f>IF(B401="","",IF(J401&lt;=0,"ESGOTADO",IF(J401&lt;=Config!$H$2,"SALDO CRÍTICO",IF(J401&lt;=Config!$H$3,"SALDO BAIXO","OK"))))</x:f>
      </x:c>
      <x:c r="L401" s="34"/>
      <x:c r="M401" s="30"/>
    </x:row>
    <x:row r="402">
      <x:c r="A402" s="30" t="str">
        <x:f>IF(B402="","",MAX($A$5:A401)+1)</x:f>
      </x:c>
      <x:c r="B402" s="30"/>
      <x:c r="C402" s="32"/>
      <x:c r="D402" s="30"/>
      <x:c r="E402" s="30"/>
      <x:c r="F402" s="30"/>
      <x:c r="G402" s="30"/>
      <x:c r="H402" s="34"/>
      <x:c r="I402" s="34"/>
      <x:c r="J402" s="34" t="str">
        <x:f>IF(B402="","",SUMIFS($H$5:$H$500,$B$5:$B$500,B402,$A$5:$A$500,"&lt;="&amp;A402)-SUMIFS($I$5:$I$500,$B$5:$B$500,B402,$A$5:$A$500,"&lt;="&amp;A402))</x:f>
      </x:c>
      <x:c r="K402" s="30" t="str">
        <x:f>IF(B402="","",IF(J402&lt;=0,"ESGOTADO",IF(J402&lt;=Config!$H$2,"SALDO CRÍTICO",IF(J402&lt;=Config!$H$3,"SALDO BAIXO","OK"))))</x:f>
      </x:c>
      <x:c r="L402" s="34"/>
      <x:c r="M402" s="30"/>
    </x:row>
    <x:row r="403">
      <x:c r="A403" s="30" t="str">
        <x:f>IF(B403="","",MAX($A$5:A402)+1)</x:f>
      </x:c>
      <x:c r="B403" s="30"/>
      <x:c r="C403" s="32"/>
      <x:c r="D403" s="30"/>
      <x:c r="E403" s="30"/>
      <x:c r="F403" s="30"/>
      <x:c r="G403" s="30"/>
      <x:c r="H403" s="34"/>
      <x:c r="I403" s="34"/>
      <x:c r="J403" s="34" t="str">
        <x:f>IF(B403="","",SUMIFS($H$5:$H$500,$B$5:$B$500,B403,$A$5:$A$500,"&lt;="&amp;A403)-SUMIFS($I$5:$I$500,$B$5:$B$500,B403,$A$5:$A$500,"&lt;="&amp;A403))</x:f>
      </x:c>
      <x:c r="K403" s="30" t="str">
        <x:f>IF(B403="","",IF(J403&lt;=0,"ESGOTADO",IF(J403&lt;=Config!$H$2,"SALDO CRÍTICO",IF(J403&lt;=Config!$H$3,"SALDO BAIXO","OK"))))</x:f>
      </x:c>
      <x:c r="L403" s="34"/>
      <x:c r="M403" s="30"/>
    </x:row>
    <x:row r="404">
      <x:c r="A404" s="30" t="str">
        <x:f>IF(B404="","",MAX($A$5:A403)+1)</x:f>
      </x:c>
      <x:c r="B404" s="30"/>
      <x:c r="C404" s="32"/>
      <x:c r="D404" s="30"/>
      <x:c r="E404" s="30"/>
      <x:c r="F404" s="30"/>
      <x:c r="G404" s="30"/>
      <x:c r="H404" s="34"/>
      <x:c r="I404" s="34"/>
      <x:c r="J404" s="34" t="str">
        <x:f>IF(B404="","",SUMIFS($H$5:$H$500,$B$5:$B$500,B404,$A$5:$A$500,"&lt;="&amp;A404)-SUMIFS($I$5:$I$500,$B$5:$B$500,B404,$A$5:$A$500,"&lt;="&amp;A404))</x:f>
      </x:c>
      <x:c r="K404" s="30" t="str">
        <x:f>IF(B404="","",IF(J404&lt;=0,"ESGOTADO",IF(J404&lt;=Config!$H$2,"SALDO CRÍTICO",IF(J404&lt;=Config!$H$3,"SALDO BAIXO","OK"))))</x:f>
      </x:c>
      <x:c r="L404" s="34"/>
      <x:c r="M404" s="30"/>
    </x:row>
    <x:row r="405">
      <x:c r="A405" s="30" t="str">
        <x:f>IF(B405="","",MAX($A$5:A404)+1)</x:f>
      </x:c>
      <x:c r="B405" s="30"/>
      <x:c r="C405" s="32"/>
      <x:c r="D405" s="30"/>
      <x:c r="E405" s="30"/>
      <x:c r="F405" s="30"/>
      <x:c r="G405" s="30"/>
      <x:c r="H405" s="34"/>
      <x:c r="I405" s="34"/>
      <x:c r="J405" s="34" t="str">
        <x:f>IF(B405="","",SUMIFS($H$5:$H$500,$B$5:$B$500,B405,$A$5:$A$500,"&lt;="&amp;A405)-SUMIFS($I$5:$I$500,$B$5:$B$500,B405,$A$5:$A$500,"&lt;="&amp;A405))</x:f>
      </x:c>
      <x:c r="K405" s="30" t="str">
        <x:f>IF(B405="","",IF(J405&lt;=0,"ESGOTADO",IF(J405&lt;=Config!$H$2,"SALDO CRÍTICO",IF(J405&lt;=Config!$H$3,"SALDO BAIXO","OK"))))</x:f>
      </x:c>
      <x:c r="L405" s="34"/>
      <x:c r="M405" s="30"/>
    </x:row>
    <x:row r="406">
      <x:c r="A406" s="30" t="str">
        <x:f>IF(B406="","",MAX($A$5:A405)+1)</x:f>
      </x:c>
      <x:c r="B406" s="30"/>
      <x:c r="C406" s="32"/>
      <x:c r="D406" s="30"/>
      <x:c r="E406" s="30"/>
      <x:c r="F406" s="30"/>
      <x:c r="G406" s="30"/>
      <x:c r="H406" s="34"/>
      <x:c r="I406" s="34"/>
      <x:c r="J406" s="34" t="str">
        <x:f>IF(B406="","",SUMIFS($H$5:$H$500,$B$5:$B$500,B406,$A$5:$A$500,"&lt;="&amp;A406)-SUMIFS($I$5:$I$500,$B$5:$B$500,B406,$A$5:$A$500,"&lt;="&amp;A406))</x:f>
      </x:c>
      <x:c r="K406" s="30" t="str">
        <x:f>IF(B406="","",IF(J406&lt;=0,"ESGOTADO",IF(J406&lt;=Config!$H$2,"SALDO CRÍTICO",IF(J406&lt;=Config!$H$3,"SALDO BAIXO","OK"))))</x:f>
      </x:c>
      <x:c r="L406" s="34"/>
      <x:c r="M406" s="30"/>
    </x:row>
    <x:row r="407">
      <x:c r="A407" s="30" t="str">
        <x:f>IF(B407="","",MAX($A$5:A406)+1)</x:f>
      </x:c>
      <x:c r="B407" s="30"/>
      <x:c r="C407" s="32"/>
      <x:c r="D407" s="30"/>
      <x:c r="E407" s="30"/>
      <x:c r="F407" s="30"/>
      <x:c r="G407" s="30"/>
      <x:c r="H407" s="34"/>
      <x:c r="I407" s="34"/>
      <x:c r="J407" s="34" t="str">
        <x:f>IF(B407="","",SUMIFS($H$5:$H$500,$B$5:$B$500,B407,$A$5:$A$500,"&lt;="&amp;A407)-SUMIFS($I$5:$I$500,$B$5:$B$500,B407,$A$5:$A$500,"&lt;="&amp;A407))</x:f>
      </x:c>
      <x:c r="K407" s="30" t="str">
        <x:f>IF(B407="","",IF(J407&lt;=0,"ESGOTADO",IF(J407&lt;=Config!$H$2,"SALDO CRÍTICO",IF(J407&lt;=Config!$H$3,"SALDO BAIXO","OK"))))</x:f>
      </x:c>
      <x:c r="L407" s="34"/>
      <x:c r="M407" s="30"/>
    </x:row>
    <x:row r="408">
      <x:c r="A408" s="30" t="str">
        <x:f>IF(B408="","",MAX($A$5:A407)+1)</x:f>
      </x:c>
      <x:c r="B408" s="30"/>
      <x:c r="C408" s="32"/>
      <x:c r="D408" s="30"/>
      <x:c r="E408" s="30"/>
      <x:c r="F408" s="30"/>
      <x:c r="G408" s="30"/>
      <x:c r="H408" s="34"/>
      <x:c r="I408" s="34"/>
      <x:c r="J408" s="34" t="str">
        <x:f>IF(B408="","",SUMIFS($H$5:$H$500,$B$5:$B$500,B408,$A$5:$A$500,"&lt;="&amp;A408)-SUMIFS($I$5:$I$500,$B$5:$B$500,B408,$A$5:$A$500,"&lt;="&amp;A408))</x:f>
      </x:c>
      <x:c r="K408" s="30" t="str">
        <x:f>IF(B408="","",IF(J408&lt;=0,"ESGOTADO",IF(J408&lt;=Config!$H$2,"SALDO CRÍTICO",IF(J408&lt;=Config!$H$3,"SALDO BAIXO","OK"))))</x:f>
      </x:c>
      <x:c r="L408" s="34"/>
      <x:c r="M408" s="30"/>
    </x:row>
    <x:row r="409">
      <x:c r="A409" s="30" t="str">
        <x:f>IF(B409="","",MAX($A$5:A408)+1)</x:f>
      </x:c>
      <x:c r="B409" s="30"/>
      <x:c r="C409" s="32"/>
      <x:c r="D409" s="30"/>
      <x:c r="E409" s="30"/>
      <x:c r="F409" s="30"/>
      <x:c r="G409" s="30"/>
      <x:c r="H409" s="34"/>
      <x:c r="I409" s="34"/>
      <x:c r="J409" s="34" t="str">
        <x:f>IF(B409="","",SUMIFS($H$5:$H$500,$B$5:$B$500,B409,$A$5:$A$500,"&lt;="&amp;A409)-SUMIFS($I$5:$I$500,$B$5:$B$500,B409,$A$5:$A$500,"&lt;="&amp;A409))</x:f>
      </x:c>
      <x:c r="K409" s="30" t="str">
        <x:f>IF(B409="","",IF(J409&lt;=0,"ESGOTADO",IF(J409&lt;=Config!$H$2,"SALDO CRÍTICO",IF(J409&lt;=Config!$H$3,"SALDO BAIXO","OK"))))</x:f>
      </x:c>
      <x:c r="L409" s="34"/>
      <x:c r="M409" s="30"/>
    </x:row>
    <x:row r="410">
      <x:c r="A410" s="30" t="str">
        <x:f>IF(B410="","",MAX($A$5:A409)+1)</x:f>
      </x:c>
      <x:c r="B410" s="30"/>
      <x:c r="C410" s="32"/>
      <x:c r="D410" s="30"/>
      <x:c r="E410" s="30"/>
      <x:c r="F410" s="30"/>
      <x:c r="G410" s="30"/>
      <x:c r="H410" s="34"/>
      <x:c r="I410" s="34"/>
      <x:c r="J410" s="34" t="str">
        <x:f>IF(B410="","",SUMIFS($H$5:$H$500,$B$5:$B$500,B410,$A$5:$A$500,"&lt;="&amp;A410)-SUMIFS($I$5:$I$500,$B$5:$B$500,B410,$A$5:$A$500,"&lt;="&amp;A410))</x:f>
      </x:c>
      <x:c r="K410" s="30" t="str">
        <x:f>IF(B410="","",IF(J410&lt;=0,"ESGOTADO",IF(J410&lt;=Config!$H$2,"SALDO CRÍTICO",IF(J410&lt;=Config!$H$3,"SALDO BAIXO","OK"))))</x:f>
      </x:c>
      <x:c r="L410" s="34"/>
      <x:c r="M410" s="30"/>
    </x:row>
    <x:row r="411">
      <x:c r="A411" s="30" t="str">
        <x:f>IF(B411="","",MAX($A$5:A410)+1)</x:f>
      </x:c>
      <x:c r="B411" s="30"/>
      <x:c r="C411" s="32"/>
      <x:c r="D411" s="30"/>
      <x:c r="E411" s="30"/>
      <x:c r="F411" s="30"/>
      <x:c r="G411" s="30"/>
      <x:c r="H411" s="34"/>
      <x:c r="I411" s="34"/>
      <x:c r="J411" s="34" t="str">
        <x:f>IF(B411="","",SUMIFS($H$5:$H$500,$B$5:$B$500,B411,$A$5:$A$500,"&lt;="&amp;A411)-SUMIFS($I$5:$I$500,$B$5:$B$500,B411,$A$5:$A$500,"&lt;="&amp;A411))</x:f>
      </x:c>
      <x:c r="K411" s="30" t="str">
        <x:f>IF(B411="","",IF(J411&lt;=0,"ESGOTADO",IF(J411&lt;=Config!$H$2,"SALDO CRÍTICO",IF(J411&lt;=Config!$H$3,"SALDO BAIXO","OK"))))</x:f>
      </x:c>
      <x:c r="L411" s="34"/>
      <x:c r="M411" s="30"/>
    </x:row>
    <x:row r="412">
      <x:c r="A412" s="30" t="str">
        <x:f>IF(B412="","",MAX($A$5:A411)+1)</x:f>
      </x:c>
      <x:c r="B412" s="30"/>
      <x:c r="C412" s="32"/>
      <x:c r="D412" s="30"/>
      <x:c r="E412" s="30"/>
      <x:c r="F412" s="30"/>
      <x:c r="G412" s="30"/>
      <x:c r="H412" s="34"/>
      <x:c r="I412" s="34"/>
      <x:c r="J412" s="34" t="str">
        <x:f>IF(B412="","",SUMIFS($H$5:$H$500,$B$5:$B$500,B412,$A$5:$A$500,"&lt;="&amp;A412)-SUMIFS($I$5:$I$500,$B$5:$B$500,B412,$A$5:$A$500,"&lt;="&amp;A412))</x:f>
      </x:c>
      <x:c r="K412" s="30" t="str">
        <x:f>IF(B412="","",IF(J412&lt;=0,"ESGOTADO",IF(J412&lt;=Config!$H$2,"SALDO CRÍTICO",IF(J412&lt;=Config!$H$3,"SALDO BAIXO","OK"))))</x:f>
      </x:c>
      <x:c r="L412" s="34"/>
      <x:c r="M412" s="30"/>
    </x:row>
    <x:row r="413">
      <x:c r="A413" s="30" t="str">
        <x:f>IF(B413="","",MAX($A$5:A412)+1)</x:f>
      </x:c>
      <x:c r="B413" s="30"/>
      <x:c r="C413" s="32"/>
      <x:c r="D413" s="30"/>
      <x:c r="E413" s="30"/>
      <x:c r="F413" s="30"/>
      <x:c r="G413" s="30"/>
      <x:c r="H413" s="34"/>
      <x:c r="I413" s="34"/>
      <x:c r="J413" s="34" t="str">
        <x:f>IF(B413="","",SUMIFS($H$5:$H$500,$B$5:$B$500,B413,$A$5:$A$500,"&lt;="&amp;A413)-SUMIFS($I$5:$I$500,$B$5:$B$500,B413,$A$5:$A$500,"&lt;="&amp;A413))</x:f>
      </x:c>
      <x:c r="K413" s="30" t="str">
        <x:f>IF(B413="","",IF(J413&lt;=0,"ESGOTADO",IF(J413&lt;=Config!$H$2,"SALDO CRÍTICO",IF(J413&lt;=Config!$H$3,"SALDO BAIXO","OK"))))</x:f>
      </x:c>
      <x:c r="L413" s="34"/>
      <x:c r="M413" s="30"/>
    </x:row>
    <x:row r="414">
      <x:c r="A414" s="30" t="str">
        <x:f>IF(B414="","",MAX($A$5:A413)+1)</x:f>
      </x:c>
      <x:c r="B414" s="30"/>
      <x:c r="C414" s="32"/>
      <x:c r="D414" s="30"/>
      <x:c r="E414" s="30"/>
      <x:c r="F414" s="30"/>
      <x:c r="G414" s="30"/>
      <x:c r="H414" s="34"/>
      <x:c r="I414" s="34"/>
      <x:c r="J414" s="34" t="str">
        <x:f>IF(B414="","",SUMIFS($H$5:$H$500,$B$5:$B$500,B414,$A$5:$A$500,"&lt;="&amp;A414)-SUMIFS($I$5:$I$500,$B$5:$B$500,B414,$A$5:$A$500,"&lt;="&amp;A414))</x:f>
      </x:c>
      <x:c r="K414" s="30" t="str">
        <x:f>IF(B414="","",IF(J414&lt;=0,"ESGOTADO",IF(J414&lt;=Config!$H$2,"SALDO CRÍTICO",IF(J414&lt;=Config!$H$3,"SALDO BAIXO","OK"))))</x:f>
      </x:c>
      <x:c r="L414" s="34"/>
      <x:c r="M414" s="30"/>
    </x:row>
    <x:row r="415">
      <x:c r="A415" s="30" t="str">
        <x:f>IF(B415="","",MAX($A$5:A414)+1)</x:f>
      </x:c>
      <x:c r="B415" s="30"/>
      <x:c r="C415" s="32"/>
      <x:c r="D415" s="30"/>
      <x:c r="E415" s="30"/>
      <x:c r="F415" s="30"/>
      <x:c r="G415" s="30"/>
      <x:c r="H415" s="34"/>
      <x:c r="I415" s="34"/>
      <x:c r="J415" s="34" t="str">
        <x:f>IF(B415="","",SUMIFS($H$5:$H$500,$B$5:$B$500,B415,$A$5:$A$500,"&lt;="&amp;A415)-SUMIFS($I$5:$I$500,$B$5:$B$500,B415,$A$5:$A$500,"&lt;="&amp;A415))</x:f>
      </x:c>
      <x:c r="K415" s="30" t="str">
        <x:f>IF(B415="","",IF(J415&lt;=0,"ESGOTADO",IF(J415&lt;=Config!$H$2,"SALDO CRÍTICO",IF(J415&lt;=Config!$H$3,"SALDO BAIXO","OK"))))</x:f>
      </x:c>
      <x:c r="L415" s="34"/>
      <x:c r="M415" s="30"/>
    </x:row>
    <x:row r="416">
      <x:c r="A416" s="30" t="str">
        <x:f>IF(B416="","",MAX($A$5:A415)+1)</x:f>
      </x:c>
      <x:c r="B416" s="30"/>
      <x:c r="C416" s="32"/>
      <x:c r="D416" s="30"/>
      <x:c r="E416" s="30"/>
      <x:c r="F416" s="30"/>
      <x:c r="G416" s="30"/>
      <x:c r="H416" s="34"/>
      <x:c r="I416" s="34"/>
      <x:c r="J416" s="34" t="str">
        <x:f>IF(B416="","",SUMIFS($H$5:$H$500,$B$5:$B$500,B416,$A$5:$A$500,"&lt;="&amp;A416)-SUMIFS($I$5:$I$500,$B$5:$B$500,B416,$A$5:$A$500,"&lt;="&amp;A416))</x:f>
      </x:c>
      <x:c r="K416" s="30" t="str">
        <x:f>IF(B416="","",IF(J416&lt;=0,"ESGOTADO",IF(J416&lt;=Config!$H$2,"SALDO CRÍTICO",IF(J416&lt;=Config!$H$3,"SALDO BAIXO","OK"))))</x:f>
      </x:c>
      <x:c r="L416" s="34"/>
      <x:c r="M416" s="30"/>
    </x:row>
    <x:row r="417">
      <x:c r="A417" s="30" t="str">
        <x:f>IF(B417="","",MAX($A$5:A416)+1)</x:f>
      </x:c>
      <x:c r="B417" s="30"/>
      <x:c r="C417" s="32"/>
      <x:c r="D417" s="30"/>
      <x:c r="E417" s="30"/>
      <x:c r="F417" s="30"/>
      <x:c r="G417" s="30"/>
      <x:c r="H417" s="34"/>
      <x:c r="I417" s="34"/>
      <x:c r="J417" s="34" t="str">
        <x:f>IF(B417="","",SUMIFS($H$5:$H$500,$B$5:$B$500,B417,$A$5:$A$500,"&lt;="&amp;A417)-SUMIFS($I$5:$I$500,$B$5:$B$500,B417,$A$5:$A$500,"&lt;="&amp;A417))</x:f>
      </x:c>
      <x:c r="K417" s="30" t="str">
        <x:f>IF(B417="","",IF(J417&lt;=0,"ESGOTADO",IF(J417&lt;=Config!$H$2,"SALDO CRÍTICO",IF(J417&lt;=Config!$H$3,"SALDO BAIXO","OK"))))</x:f>
      </x:c>
      <x:c r="L417" s="34"/>
      <x:c r="M417" s="30"/>
    </x:row>
    <x:row r="418">
      <x:c r="A418" s="30" t="str">
        <x:f>IF(B418="","",MAX($A$5:A417)+1)</x:f>
      </x:c>
      <x:c r="B418" s="30"/>
      <x:c r="C418" s="32"/>
      <x:c r="D418" s="30"/>
      <x:c r="E418" s="30"/>
      <x:c r="F418" s="30"/>
      <x:c r="G418" s="30"/>
      <x:c r="H418" s="34"/>
      <x:c r="I418" s="34"/>
      <x:c r="J418" s="34" t="str">
        <x:f>IF(B418="","",SUMIFS($H$5:$H$500,$B$5:$B$500,B418,$A$5:$A$500,"&lt;="&amp;A418)-SUMIFS($I$5:$I$500,$B$5:$B$500,B418,$A$5:$A$500,"&lt;="&amp;A418))</x:f>
      </x:c>
      <x:c r="K418" s="30" t="str">
        <x:f>IF(B418="","",IF(J418&lt;=0,"ESGOTADO",IF(J418&lt;=Config!$H$2,"SALDO CRÍTICO",IF(J418&lt;=Config!$H$3,"SALDO BAIXO","OK"))))</x:f>
      </x:c>
      <x:c r="L418" s="34"/>
      <x:c r="M418" s="30"/>
    </x:row>
    <x:row r="419">
      <x:c r="A419" s="30" t="str">
        <x:f>IF(B419="","",MAX($A$5:A418)+1)</x:f>
      </x:c>
      <x:c r="B419" s="30"/>
      <x:c r="C419" s="32"/>
      <x:c r="D419" s="30"/>
      <x:c r="E419" s="30"/>
      <x:c r="F419" s="30"/>
      <x:c r="G419" s="30"/>
      <x:c r="H419" s="34"/>
      <x:c r="I419" s="34"/>
      <x:c r="J419" s="34" t="str">
        <x:f>IF(B419="","",SUMIFS($H$5:$H$500,$B$5:$B$500,B419,$A$5:$A$500,"&lt;="&amp;A419)-SUMIFS($I$5:$I$500,$B$5:$B$500,B419,$A$5:$A$500,"&lt;="&amp;A419))</x:f>
      </x:c>
      <x:c r="K419" s="30" t="str">
        <x:f>IF(B419="","",IF(J419&lt;=0,"ESGOTADO",IF(J419&lt;=Config!$H$2,"SALDO CRÍTICO",IF(J419&lt;=Config!$H$3,"SALDO BAIXO","OK"))))</x:f>
      </x:c>
      <x:c r="L419" s="34"/>
      <x:c r="M419" s="30"/>
    </x:row>
    <x:row r="420">
      <x:c r="A420" s="30" t="str">
        <x:f>IF(B420="","",MAX($A$5:A419)+1)</x:f>
      </x:c>
      <x:c r="B420" s="30"/>
      <x:c r="C420" s="32"/>
      <x:c r="D420" s="30"/>
      <x:c r="E420" s="30"/>
      <x:c r="F420" s="30"/>
      <x:c r="G420" s="30"/>
      <x:c r="H420" s="34"/>
      <x:c r="I420" s="34"/>
      <x:c r="J420" s="34" t="str">
        <x:f>IF(B420="","",SUMIFS($H$5:$H$500,$B$5:$B$500,B420,$A$5:$A$500,"&lt;="&amp;A420)-SUMIFS($I$5:$I$500,$B$5:$B$500,B420,$A$5:$A$500,"&lt;="&amp;A420))</x:f>
      </x:c>
      <x:c r="K420" s="30" t="str">
        <x:f>IF(B420="","",IF(J420&lt;=0,"ESGOTADO",IF(J420&lt;=Config!$H$2,"SALDO CRÍTICO",IF(J420&lt;=Config!$H$3,"SALDO BAIXO","OK"))))</x:f>
      </x:c>
      <x:c r="L420" s="34"/>
      <x:c r="M420" s="30"/>
    </x:row>
    <x:row r="421">
      <x:c r="A421" s="30" t="str">
        <x:f>IF(B421="","",MAX($A$5:A420)+1)</x:f>
      </x:c>
      <x:c r="B421" s="30"/>
      <x:c r="C421" s="32"/>
      <x:c r="D421" s="30"/>
      <x:c r="E421" s="30"/>
      <x:c r="F421" s="30"/>
      <x:c r="G421" s="30"/>
      <x:c r="H421" s="34"/>
      <x:c r="I421" s="34"/>
      <x:c r="J421" s="34" t="str">
        <x:f>IF(B421="","",SUMIFS($H$5:$H$500,$B$5:$B$500,B421,$A$5:$A$500,"&lt;="&amp;A421)-SUMIFS($I$5:$I$500,$B$5:$B$500,B421,$A$5:$A$500,"&lt;="&amp;A421))</x:f>
      </x:c>
      <x:c r="K421" s="30" t="str">
        <x:f>IF(B421="","",IF(J421&lt;=0,"ESGOTADO",IF(J421&lt;=Config!$H$2,"SALDO CRÍTICO",IF(J421&lt;=Config!$H$3,"SALDO BAIXO","OK"))))</x:f>
      </x:c>
      <x:c r="L421" s="34"/>
      <x:c r="M421" s="30"/>
    </x:row>
    <x:row r="422">
      <x:c r="A422" s="30" t="str">
        <x:f>IF(B422="","",MAX($A$5:A421)+1)</x:f>
      </x:c>
      <x:c r="B422" s="30"/>
      <x:c r="C422" s="32"/>
      <x:c r="D422" s="30"/>
      <x:c r="E422" s="30"/>
      <x:c r="F422" s="30"/>
      <x:c r="G422" s="30"/>
      <x:c r="H422" s="34"/>
      <x:c r="I422" s="34"/>
      <x:c r="J422" s="34" t="str">
        <x:f>IF(B422="","",SUMIFS($H$5:$H$500,$B$5:$B$500,B422,$A$5:$A$500,"&lt;="&amp;A422)-SUMIFS($I$5:$I$500,$B$5:$B$500,B422,$A$5:$A$500,"&lt;="&amp;A422))</x:f>
      </x:c>
      <x:c r="K422" s="30" t="str">
        <x:f>IF(B422="","",IF(J422&lt;=0,"ESGOTADO",IF(J422&lt;=Config!$H$2,"SALDO CRÍTICO",IF(J422&lt;=Config!$H$3,"SALDO BAIXO","OK"))))</x:f>
      </x:c>
      <x:c r="L422" s="34"/>
      <x:c r="M422" s="30"/>
    </x:row>
    <x:row r="423">
      <x:c r="A423" s="30" t="str">
        <x:f>IF(B423="","",MAX($A$5:A422)+1)</x:f>
      </x:c>
      <x:c r="B423" s="30"/>
      <x:c r="C423" s="32"/>
      <x:c r="D423" s="30"/>
      <x:c r="E423" s="30"/>
      <x:c r="F423" s="30"/>
      <x:c r="G423" s="30"/>
      <x:c r="H423" s="34"/>
      <x:c r="I423" s="34"/>
      <x:c r="J423" s="34" t="str">
        <x:f>IF(B423="","",SUMIFS($H$5:$H$500,$B$5:$B$500,B423,$A$5:$A$500,"&lt;="&amp;A423)-SUMIFS($I$5:$I$500,$B$5:$B$500,B423,$A$5:$A$500,"&lt;="&amp;A423))</x:f>
      </x:c>
      <x:c r="K423" s="30" t="str">
        <x:f>IF(B423="","",IF(J423&lt;=0,"ESGOTADO",IF(J423&lt;=Config!$H$2,"SALDO CRÍTICO",IF(J423&lt;=Config!$H$3,"SALDO BAIXO","OK"))))</x:f>
      </x:c>
      <x:c r="L423" s="34"/>
      <x:c r="M423" s="30"/>
    </x:row>
    <x:row r="424">
      <x:c r="A424" s="30" t="str">
        <x:f>IF(B424="","",MAX($A$5:A423)+1)</x:f>
      </x:c>
      <x:c r="B424" s="30"/>
      <x:c r="C424" s="32"/>
      <x:c r="D424" s="30"/>
      <x:c r="E424" s="30"/>
      <x:c r="F424" s="30"/>
      <x:c r="G424" s="30"/>
      <x:c r="H424" s="34"/>
      <x:c r="I424" s="34"/>
      <x:c r="J424" s="34" t="str">
        <x:f>IF(B424="","",SUMIFS($H$5:$H$500,$B$5:$B$500,B424,$A$5:$A$500,"&lt;="&amp;A424)-SUMIFS($I$5:$I$500,$B$5:$B$500,B424,$A$5:$A$500,"&lt;="&amp;A424))</x:f>
      </x:c>
      <x:c r="K424" s="30" t="str">
        <x:f>IF(B424="","",IF(J424&lt;=0,"ESGOTADO",IF(J424&lt;=Config!$H$2,"SALDO CRÍTICO",IF(J424&lt;=Config!$H$3,"SALDO BAIXO","OK"))))</x:f>
      </x:c>
      <x:c r="L424" s="34"/>
      <x:c r="M424" s="30"/>
    </x:row>
    <x:row r="425">
      <x:c r="A425" s="30" t="str">
        <x:f>IF(B425="","",MAX($A$5:A424)+1)</x:f>
      </x:c>
      <x:c r="B425" s="30"/>
      <x:c r="C425" s="32"/>
      <x:c r="D425" s="30"/>
      <x:c r="E425" s="30"/>
      <x:c r="F425" s="30"/>
      <x:c r="G425" s="30"/>
      <x:c r="H425" s="34"/>
      <x:c r="I425" s="34"/>
      <x:c r="J425" s="34" t="str">
        <x:f>IF(B425="","",SUMIFS($H$5:$H$500,$B$5:$B$500,B425,$A$5:$A$500,"&lt;="&amp;A425)-SUMIFS($I$5:$I$500,$B$5:$B$500,B425,$A$5:$A$500,"&lt;="&amp;A425))</x:f>
      </x:c>
      <x:c r="K425" s="30" t="str">
        <x:f>IF(B425="","",IF(J425&lt;=0,"ESGOTADO",IF(J425&lt;=Config!$H$2,"SALDO CRÍTICO",IF(J425&lt;=Config!$H$3,"SALDO BAIXO","OK"))))</x:f>
      </x:c>
      <x:c r="L425" s="34"/>
      <x:c r="M425" s="30"/>
    </x:row>
    <x:row r="426">
      <x:c r="A426" s="30" t="str">
        <x:f>IF(B426="","",MAX($A$5:A425)+1)</x:f>
      </x:c>
      <x:c r="B426" s="30"/>
      <x:c r="C426" s="32"/>
      <x:c r="D426" s="30"/>
      <x:c r="E426" s="30"/>
      <x:c r="F426" s="30"/>
      <x:c r="G426" s="30"/>
      <x:c r="H426" s="34"/>
      <x:c r="I426" s="34"/>
      <x:c r="J426" s="34" t="str">
        <x:f>IF(B426="","",SUMIFS($H$5:$H$500,$B$5:$B$500,B426,$A$5:$A$500,"&lt;="&amp;A426)-SUMIFS($I$5:$I$500,$B$5:$B$500,B426,$A$5:$A$500,"&lt;="&amp;A426))</x:f>
      </x:c>
      <x:c r="K426" s="30" t="str">
        <x:f>IF(B426="","",IF(J426&lt;=0,"ESGOTADO",IF(J426&lt;=Config!$H$2,"SALDO CRÍTICO",IF(J426&lt;=Config!$H$3,"SALDO BAIXO","OK"))))</x:f>
      </x:c>
      <x:c r="L426" s="34"/>
      <x:c r="M426" s="30"/>
    </x:row>
    <x:row r="427">
      <x:c r="A427" s="30" t="str">
        <x:f>IF(B427="","",MAX($A$5:A426)+1)</x:f>
      </x:c>
      <x:c r="B427" s="30"/>
      <x:c r="C427" s="32"/>
      <x:c r="D427" s="30"/>
      <x:c r="E427" s="30"/>
      <x:c r="F427" s="30"/>
      <x:c r="G427" s="30"/>
      <x:c r="H427" s="34"/>
      <x:c r="I427" s="34"/>
      <x:c r="J427" s="34" t="str">
        <x:f>IF(B427="","",SUMIFS($H$5:$H$500,$B$5:$B$500,B427,$A$5:$A$500,"&lt;="&amp;A427)-SUMIFS($I$5:$I$500,$B$5:$B$500,B427,$A$5:$A$500,"&lt;="&amp;A427))</x:f>
      </x:c>
      <x:c r="K427" s="30" t="str">
        <x:f>IF(B427="","",IF(J427&lt;=0,"ESGOTADO",IF(J427&lt;=Config!$H$2,"SALDO CRÍTICO",IF(J427&lt;=Config!$H$3,"SALDO BAIXO","OK"))))</x:f>
      </x:c>
      <x:c r="L427" s="34"/>
      <x:c r="M427" s="30"/>
    </x:row>
    <x:row r="428">
      <x:c r="A428" s="30" t="str">
        <x:f>IF(B428="","",MAX($A$5:A427)+1)</x:f>
      </x:c>
      <x:c r="B428" s="30"/>
      <x:c r="C428" s="32"/>
      <x:c r="D428" s="30"/>
      <x:c r="E428" s="30"/>
      <x:c r="F428" s="30"/>
      <x:c r="G428" s="30"/>
      <x:c r="H428" s="34"/>
      <x:c r="I428" s="34"/>
      <x:c r="J428" s="34" t="str">
        <x:f>IF(B428="","",SUMIFS($H$5:$H$500,$B$5:$B$500,B428,$A$5:$A$500,"&lt;="&amp;A428)-SUMIFS($I$5:$I$500,$B$5:$B$500,B428,$A$5:$A$500,"&lt;="&amp;A428))</x:f>
      </x:c>
      <x:c r="K428" s="30" t="str">
        <x:f>IF(B428="","",IF(J428&lt;=0,"ESGOTADO",IF(J428&lt;=Config!$H$2,"SALDO CRÍTICO",IF(J428&lt;=Config!$H$3,"SALDO BAIXO","OK"))))</x:f>
      </x:c>
      <x:c r="L428" s="34"/>
      <x:c r="M428" s="30"/>
    </x:row>
    <x:row r="429">
      <x:c r="A429" s="30" t="str">
        <x:f>IF(B429="","",MAX($A$5:A428)+1)</x:f>
      </x:c>
      <x:c r="B429" s="30"/>
      <x:c r="C429" s="32"/>
      <x:c r="D429" s="30"/>
      <x:c r="E429" s="30"/>
      <x:c r="F429" s="30"/>
      <x:c r="G429" s="30"/>
      <x:c r="H429" s="34"/>
      <x:c r="I429" s="34"/>
      <x:c r="J429" s="34" t="str">
        <x:f>IF(B429="","",SUMIFS($H$5:$H$500,$B$5:$B$500,B429,$A$5:$A$500,"&lt;="&amp;A429)-SUMIFS($I$5:$I$500,$B$5:$B$500,B429,$A$5:$A$500,"&lt;="&amp;A429))</x:f>
      </x:c>
      <x:c r="K429" s="30" t="str">
        <x:f>IF(B429="","",IF(J429&lt;=0,"ESGOTADO",IF(J429&lt;=Config!$H$2,"SALDO CRÍTICO",IF(J429&lt;=Config!$H$3,"SALDO BAIXO","OK"))))</x:f>
      </x:c>
      <x:c r="L429" s="34"/>
      <x:c r="M429" s="30"/>
    </x:row>
    <x:row r="430">
      <x:c r="A430" s="30" t="str">
        <x:f>IF(B430="","",MAX($A$5:A429)+1)</x:f>
      </x:c>
      <x:c r="B430" s="30"/>
      <x:c r="C430" s="32"/>
      <x:c r="D430" s="30"/>
      <x:c r="E430" s="30"/>
      <x:c r="F430" s="30"/>
      <x:c r="G430" s="30"/>
      <x:c r="H430" s="34"/>
      <x:c r="I430" s="34"/>
      <x:c r="J430" s="34" t="str">
        <x:f>IF(B430="","",SUMIFS($H$5:$H$500,$B$5:$B$500,B430,$A$5:$A$500,"&lt;="&amp;A430)-SUMIFS($I$5:$I$500,$B$5:$B$500,B430,$A$5:$A$500,"&lt;="&amp;A430))</x:f>
      </x:c>
      <x:c r="K430" s="30" t="str">
        <x:f>IF(B430="","",IF(J430&lt;=0,"ESGOTADO",IF(J430&lt;=Config!$H$2,"SALDO CRÍTICO",IF(J430&lt;=Config!$H$3,"SALDO BAIXO","OK"))))</x:f>
      </x:c>
      <x:c r="L430" s="34"/>
      <x:c r="M430" s="30"/>
    </x:row>
    <x:row r="431">
      <x:c r="A431" s="30" t="str">
        <x:f>IF(B431="","",MAX($A$5:A430)+1)</x:f>
      </x:c>
      <x:c r="B431" s="30"/>
      <x:c r="C431" s="32"/>
      <x:c r="D431" s="30"/>
      <x:c r="E431" s="30"/>
      <x:c r="F431" s="30"/>
      <x:c r="G431" s="30"/>
      <x:c r="H431" s="34"/>
      <x:c r="I431" s="34"/>
      <x:c r="J431" s="34" t="str">
        <x:f>IF(B431="","",SUMIFS($H$5:$H$500,$B$5:$B$500,B431,$A$5:$A$500,"&lt;="&amp;A431)-SUMIFS($I$5:$I$500,$B$5:$B$500,B431,$A$5:$A$500,"&lt;="&amp;A431))</x:f>
      </x:c>
      <x:c r="K431" s="30" t="str">
        <x:f>IF(B431="","",IF(J431&lt;=0,"ESGOTADO",IF(J431&lt;=Config!$H$2,"SALDO CRÍTICO",IF(J431&lt;=Config!$H$3,"SALDO BAIXO","OK"))))</x:f>
      </x:c>
      <x:c r="L431" s="34"/>
      <x:c r="M431" s="30"/>
    </x:row>
    <x:row r="432">
      <x:c r="A432" s="30" t="str">
        <x:f>IF(B432="","",MAX($A$5:A431)+1)</x:f>
      </x:c>
      <x:c r="B432" s="30"/>
      <x:c r="C432" s="32"/>
      <x:c r="D432" s="30"/>
      <x:c r="E432" s="30"/>
      <x:c r="F432" s="30"/>
      <x:c r="G432" s="30"/>
      <x:c r="H432" s="34"/>
      <x:c r="I432" s="34"/>
      <x:c r="J432" s="34" t="str">
        <x:f>IF(B432="","",SUMIFS($H$5:$H$500,$B$5:$B$500,B432,$A$5:$A$500,"&lt;="&amp;A432)-SUMIFS($I$5:$I$500,$B$5:$B$500,B432,$A$5:$A$500,"&lt;="&amp;A432))</x:f>
      </x:c>
      <x:c r="K432" s="30" t="str">
        <x:f>IF(B432="","",IF(J432&lt;=0,"ESGOTADO",IF(J432&lt;=Config!$H$2,"SALDO CRÍTICO",IF(J432&lt;=Config!$H$3,"SALDO BAIXO","OK"))))</x:f>
      </x:c>
      <x:c r="L432" s="34"/>
      <x:c r="M432" s="30"/>
    </x:row>
    <x:row r="433">
      <x:c r="A433" s="30" t="str">
        <x:f>IF(B433="","",MAX($A$5:A432)+1)</x:f>
      </x:c>
      <x:c r="B433" s="30"/>
      <x:c r="C433" s="32"/>
      <x:c r="D433" s="30"/>
      <x:c r="E433" s="30"/>
      <x:c r="F433" s="30"/>
      <x:c r="G433" s="30"/>
      <x:c r="H433" s="34"/>
      <x:c r="I433" s="34"/>
      <x:c r="J433" s="34" t="str">
        <x:f>IF(B433="","",SUMIFS($H$5:$H$500,$B$5:$B$500,B433,$A$5:$A$500,"&lt;="&amp;A433)-SUMIFS($I$5:$I$500,$B$5:$B$500,B433,$A$5:$A$500,"&lt;="&amp;A433))</x:f>
      </x:c>
      <x:c r="K433" s="30" t="str">
        <x:f>IF(B433="","",IF(J433&lt;=0,"ESGOTADO",IF(J433&lt;=Config!$H$2,"SALDO CRÍTICO",IF(J433&lt;=Config!$H$3,"SALDO BAIXO","OK"))))</x:f>
      </x:c>
      <x:c r="L433" s="34"/>
      <x:c r="M433" s="30"/>
    </x:row>
    <x:row r="434">
      <x:c r="A434" s="30" t="str">
        <x:f>IF(B434="","",MAX($A$5:A433)+1)</x:f>
      </x:c>
      <x:c r="B434" s="30"/>
      <x:c r="C434" s="32"/>
      <x:c r="D434" s="30"/>
      <x:c r="E434" s="30"/>
      <x:c r="F434" s="30"/>
      <x:c r="G434" s="30"/>
      <x:c r="H434" s="34"/>
      <x:c r="I434" s="34"/>
      <x:c r="J434" s="34" t="str">
        <x:f>IF(B434="","",SUMIFS($H$5:$H$500,$B$5:$B$500,B434,$A$5:$A$500,"&lt;="&amp;A434)-SUMIFS($I$5:$I$500,$B$5:$B$500,B434,$A$5:$A$500,"&lt;="&amp;A434))</x:f>
      </x:c>
      <x:c r="K434" s="30" t="str">
        <x:f>IF(B434="","",IF(J434&lt;=0,"ESGOTADO",IF(J434&lt;=Config!$H$2,"SALDO CRÍTICO",IF(J434&lt;=Config!$H$3,"SALDO BAIXO","OK"))))</x:f>
      </x:c>
      <x:c r="L434" s="34"/>
      <x:c r="M434" s="30"/>
    </x:row>
    <x:row r="435">
      <x:c r="A435" s="30" t="str">
        <x:f>IF(B435="","",MAX($A$5:A434)+1)</x:f>
      </x:c>
      <x:c r="B435" s="30"/>
      <x:c r="C435" s="32"/>
      <x:c r="D435" s="30"/>
      <x:c r="E435" s="30"/>
      <x:c r="F435" s="30"/>
      <x:c r="G435" s="30"/>
      <x:c r="H435" s="34"/>
      <x:c r="I435" s="34"/>
      <x:c r="J435" s="34" t="str">
        <x:f>IF(B435="","",SUMIFS($H$5:$H$500,$B$5:$B$500,B435,$A$5:$A$500,"&lt;="&amp;A435)-SUMIFS($I$5:$I$500,$B$5:$B$500,B435,$A$5:$A$500,"&lt;="&amp;A435))</x:f>
      </x:c>
      <x:c r="K435" s="30" t="str">
        <x:f>IF(B435="","",IF(J435&lt;=0,"ESGOTADO",IF(J435&lt;=Config!$H$2,"SALDO CRÍTICO",IF(J435&lt;=Config!$H$3,"SALDO BAIXO","OK"))))</x:f>
      </x:c>
      <x:c r="L435" s="34"/>
      <x:c r="M435" s="30"/>
    </x:row>
    <x:row r="436">
      <x:c r="A436" s="30" t="str">
        <x:f>IF(B436="","",MAX($A$5:A435)+1)</x:f>
      </x:c>
      <x:c r="B436" s="30"/>
      <x:c r="C436" s="32"/>
      <x:c r="D436" s="30"/>
      <x:c r="E436" s="30"/>
      <x:c r="F436" s="30"/>
      <x:c r="G436" s="30"/>
      <x:c r="H436" s="34"/>
      <x:c r="I436" s="34"/>
      <x:c r="J436" s="34" t="str">
        <x:f>IF(B436="","",SUMIFS($H$5:$H$500,$B$5:$B$500,B436,$A$5:$A$500,"&lt;="&amp;A436)-SUMIFS($I$5:$I$500,$B$5:$B$500,B436,$A$5:$A$500,"&lt;="&amp;A436))</x:f>
      </x:c>
      <x:c r="K436" s="30" t="str">
        <x:f>IF(B436="","",IF(J436&lt;=0,"ESGOTADO",IF(J436&lt;=Config!$H$2,"SALDO CRÍTICO",IF(J436&lt;=Config!$H$3,"SALDO BAIXO","OK"))))</x:f>
      </x:c>
      <x:c r="L436" s="34"/>
      <x:c r="M436" s="30"/>
    </x:row>
    <x:row r="437">
      <x:c r="A437" s="30" t="str">
        <x:f>IF(B437="","",MAX($A$5:A436)+1)</x:f>
      </x:c>
      <x:c r="B437" s="30"/>
      <x:c r="C437" s="32"/>
      <x:c r="D437" s="30"/>
      <x:c r="E437" s="30"/>
      <x:c r="F437" s="30"/>
      <x:c r="G437" s="30"/>
      <x:c r="H437" s="34"/>
      <x:c r="I437" s="34"/>
      <x:c r="J437" s="34" t="str">
        <x:f>IF(B437="","",SUMIFS($H$5:$H$500,$B$5:$B$500,B437,$A$5:$A$500,"&lt;="&amp;A437)-SUMIFS($I$5:$I$500,$B$5:$B$500,B437,$A$5:$A$500,"&lt;="&amp;A437))</x:f>
      </x:c>
      <x:c r="K437" s="30" t="str">
        <x:f>IF(B437="","",IF(J437&lt;=0,"ESGOTADO",IF(J437&lt;=Config!$H$2,"SALDO CRÍTICO",IF(J437&lt;=Config!$H$3,"SALDO BAIXO","OK"))))</x:f>
      </x:c>
      <x:c r="L437" s="34"/>
      <x:c r="M437" s="30"/>
    </x:row>
    <x:row r="438">
      <x:c r="A438" s="30" t="str">
        <x:f>IF(B438="","",MAX($A$5:A437)+1)</x:f>
      </x:c>
      <x:c r="B438" s="30"/>
      <x:c r="C438" s="32"/>
      <x:c r="D438" s="30"/>
      <x:c r="E438" s="30"/>
      <x:c r="F438" s="30"/>
      <x:c r="G438" s="30"/>
      <x:c r="H438" s="34"/>
      <x:c r="I438" s="34"/>
      <x:c r="J438" s="34" t="str">
        <x:f>IF(B438="","",SUMIFS($H$5:$H$500,$B$5:$B$500,B438,$A$5:$A$500,"&lt;="&amp;A438)-SUMIFS($I$5:$I$500,$B$5:$B$500,B438,$A$5:$A$500,"&lt;="&amp;A438))</x:f>
      </x:c>
      <x:c r="K438" s="30" t="str">
        <x:f>IF(B438="","",IF(J438&lt;=0,"ESGOTADO",IF(J438&lt;=Config!$H$2,"SALDO CRÍTICO",IF(J438&lt;=Config!$H$3,"SALDO BAIXO","OK"))))</x:f>
      </x:c>
      <x:c r="L438" s="34"/>
      <x:c r="M438" s="30"/>
    </x:row>
    <x:row r="439">
      <x:c r="A439" s="30" t="str">
        <x:f>IF(B439="","",MAX($A$5:A438)+1)</x:f>
      </x:c>
      <x:c r="B439" s="30"/>
      <x:c r="C439" s="32"/>
      <x:c r="D439" s="30"/>
      <x:c r="E439" s="30"/>
      <x:c r="F439" s="30"/>
      <x:c r="G439" s="30"/>
      <x:c r="H439" s="34"/>
      <x:c r="I439" s="34"/>
      <x:c r="J439" s="34" t="str">
        <x:f>IF(B439="","",SUMIFS($H$5:$H$500,$B$5:$B$500,B439,$A$5:$A$500,"&lt;="&amp;A439)-SUMIFS($I$5:$I$500,$B$5:$B$500,B439,$A$5:$A$500,"&lt;="&amp;A439))</x:f>
      </x:c>
      <x:c r="K439" s="30" t="str">
        <x:f>IF(B439="","",IF(J439&lt;=0,"ESGOTADO",IF(J439&lt;=Config!$H$2,"SALDO CRÍTICO",IF(J439&lt;=Config!$H$3,"SALDO BAIXO","OK"))))</x:f>
      </x:c>
      <x:c r="L439" s="34"/>
      <x:c r="M439" s="30"/>
    </x:row>
    <x:row r="440">
      <x:c r="A440" s="30" t="str">
        <x:f>IF(B440="","",MAX($A$5:A439)+1)</x:f>
      </x:c>
      <x:c r="B440" s="30"/>
      <x:c r="C440" s="32"/>
      <x:c r="D440" s="30"/>
      <x:c r="E440" s="30"/>
      <x:c r="F440" s="30"/>
      <x:c r="G440" s="30"/>
      <x:c r="H440" s="34"/>
      <x:c r="I440" s="34"/>
      <x:c r="J440" s="34" t="str">
        <x:f>IF(B440="","",SUMIFS($H$5:$H$500,$B$5:$B$500,B440,$A$5:$A$500,"&lt;="&amp;A440)-SUMIFS($I$5:$I$500,$B$5:$B$500,B440,$A$5:$A$500,"&lt;="&amp;A440))</x:f>
      </x:c>
      <x:c r="K440" s="30" t="str">
        <x:f>IF(B440="","",IF(J440&lt;=0,"ESGOTADO",IF(J440&lt;=Config!$H$2,"SALDO CRÍTICO",IF(J440&lt;=Config!$H$3,"SALDO BAIXO","OK"))))</x:f>
      </x:c>
      <x:c r="L440" s="34"/>
      <x:c r="M440" s="30"/>
    </x:row>
    <x:row r="441">
      <x:c r="A441" s="30" t="str">
        <x:f>IF(B441="","",MAX($A$5:A440)+1)</x:f>
      </x:c>
      <x:c r="B441" s="30"/>
      <x:c r="C441" s="32"/>
      <x:c r="D441" s="30"/>
      <x:c r="E441" s="30"/>
      <x:c r="F441" s="30"/>
      <x:c r="G441" s="30"/>
      <x:c r="H441" s="34"/>
      <x:c r="I441" s="34"/>
      <x:c r="J441" s="34" t="str">
        <x:f>IF(B441="","",SUMIFS($H$5:$H$500,$B$5:$B$500,B441,$A$5:$A$500,"&lt;="&amp;A441)-SUMIFS($I$5:$I$500,$B$5:$B$500,B441,$A$5:$A$500,"&lt;="&amp;A441))</x:f>
      </x:c>
      <x:c r="K441" s="30" t="str">
        <x:f>IF(B441="","",IF(J441&lt;=0,"ESGOTADO",IF(J441&lt;=Config!$H$2,"SALDO CRÍTICO",IF(J441&lt;=Config!$H$3,"SALDO BAIXO","OK"))))</x:f>
      </x:c>
      <x:c r="L441" s="34"/>
      <x:c r="M441" s="30"/>
    </x:row>
    <x:row r="442">
      <x:c r="A442" s="30" t="str">
        <x:f>IF(B442="","",MAX($A$5:A441)+1)</x:f>
      </x:c>
      <x:c r="B442" s="30"/>
      <x:c r="C442" s="32"/>
      <x:c r="D442" s="30"/>
      <x:c r="E442" s="30"/>
      <x:c r="F442" s="30"/>
      <x:c r="G442" s="30"/>
      <x:c r="H442" s="34"/>
      <x:c r="I442" s="34"/>
      <x:c r="J442" s="34" t="str">
        <x:f>IF(B442="","",SUMIFS($H$5:$H$500,$B$5:$B$500,B442,$A$5:$A$500,"&lt;="&amp;A442)-SUMIFS($I$5:$I$500,$B$5:$B$500,B442,$A$5:$A$500,"&lt;="&amp;A442))</x:f>
      </x:c>
      <x:c r="K442" s="30" t="str">
        <x:f>IF(B442="","",IF(J442&lt;=0,"ESGOTADO",IF(J442&lt;=Config!$H$2,"SALDO CRÍTICO",IF(J442&lt;=Config!$H$3,"SALDO BAIXO","OK"))))</x:f>
      </x:c>
      <x:c r="L442" s="34"/>
      <x:c r="M442" s="30"/>
    </x:row>
    <x:row r="443">
      <x:c r="A443" s="30" t="str">
        <x:f>IF(B443="","",MAX($A$5:A442)+1)</x:f>
      </x:c>
      <x:c r="B443" s="30"/>
      <x:c r="C443" s="32"/>
      <x:c r="D443" s="30"/>
      <x:c r="E443" s="30"/>
      <x:c r="F443" s="30"/>
      <x:c r="G443" s="30"/>
      <x:c r="H443" s="34"/>
      <x:c r="I443" s="34"/>
      <x:c r="J443" s="34" t="str">
        <x:f>IF(B443="","",SUMIFS($H$5:$H$500,$B$5:$B$500,B443,$A$5:$A$500,"&lt;="&amp;A443)-SUMIFS($I$5:$I$500,$B$5:$B$500,B443,$A$5:$A$500,"&lt;="&amp;A443))</x:f>
      </x:c>
      <x:c r="K443" s="30" t="str">
        <x:f>IF(B443="","",IF(J443&lt;=0,"ESGOTADO",IF(J443&lt;=Config!$H$2,"SALDO CRÍTICO",IF(J443&lt;=Config!$H$3,"SALDO BAIXO","OK"))))</x:f>
      </x:c>
      <x:c r="L443" s="34"/>
      <x:c r="M443" s="30"/>
    </x:row>
    <x:row r="444">
      <x:c r="A444" s="30" t="str">
        <x:f>IF(B444="","",MAX($A$5:A443)+1)</x:f>
      </x:c>
      <x:c r="B444" s="30"/>
      <x:c r="C444" s="32"/>
      <x:c r="D444" s="30"/>
      <x:c r="E444" s="30"/>
      <x:c r="F444" s="30"/>
      <x:c r="G444" s="30"/>
      <x:c r="H444" s="34"/>
      <x:c r="I444" s="34"/>
      <x:c r="J444" s="34" t="str">
        <x:f>IF(B444="","",SUMIFS($H$5:$H$500,$B$5:$B$500,B444,$A$5:$A$500,"&lt;="&amp;A444)-SUMIFS($I$5:$I$500,$B$5:$B$500,B444,$A$5:$A$500,"&lt;="&amp;A444))</x:f>
      </x:c>
      <x:c r="K444" s="30" t="str">
        <x:f>IF(B444="","",IF(J444&lt;=0,"ESGOTADO",IF(J444&lt;=Config!$H$2,"SALDO CRÍTICO",IF(J444&lt;=Config!$H$3,"SALDO BAIXO","OK"))))</x:f>
      </x:c>
      <x:c r="L444" s="34"/>
      <x:c r="M444" s="30"/>
    </x:row>
    <x:row r="445">
      <x:c r="A445" s="30" t="str">
        <x:f>IF(B445="","",MAX($A$5:A444)+1)</x:f>
      </x:c>
      <x:c r="B445" s="30"/>
      <x:c r="C445" s="32"/>
      <x:c r="D445" s="30"/>
      <x:c r="E445" s="30"/>
      <x:c r="F445" s="30"/>
      <x:c r="G445" s="30"/>
      <x:c r="H445" s="34"/>
      <x:c r="I445" s="34"/>
      <x:c r="J445" s="34" t="str">
        <x:f>IF(B445="","",SUMIFS($H$5:$H$500,$B$5:$B$500,B445,$A$5:$A$500,"&lt;="&amp;A445)-SUMIFS($I$5:$I$500,$B$5:$B$500,B445,$A$5:$A$500,"&lt;="&amp;A445))</x:f>
      </x:c>
      <x:c r="K445" s="30" t="str">
        <x:f>IF(B445="","",IF(J445&lt;=0,"ESGOTADO",IF(J445&lt;=Config!$H$2,"SALDO CRÍTICO",IF(J445&lt;=Config!$H$3,"SALDO BAIXO","OK"))))</x:f>
      </x:c>
      <x:c r="L445" s="34"/>
      <x:c r="M445" s="30"/>
    </x:row>
    <x:row r="446">
      <x:c r="A446" s="30" t="str">
        <x:f>IF(B446="","",MAX($A$5:A445)+1)</x:f>
      </x:c>
      <x:c r="B446" s="30"/>
      <x:c r="C446" s="32"/>
      <x:c r="D446" s="30"/>
      <x:c r="E446" s="30"/>
      <x:c r="F446" s="30"/>
      <x:c r="G446" s="30"/>
      <x:c r="H446" s="34"/>
      <x:c r="I446" s="34"/>
      <x:c r="J446" s="34" t="str">
        <x:f>IF(B446="","",SUMIFS($H$5:$H$500,$B$5:$B$500,B446,$A$5:$A$500,"&lt;="&amp;A446)-SUMIFS($I$5:$I$500,$B$5:$B$500,B446,$A$5:$A$500,"&lt;="&amp;A446))</x:f>
      </x:c>
      <x:c r="K446" s="30" t="str">
        <x:f>IF(B446="","",IF(J446&lt;=0,"ESGOTADO",IF(J446&lt;=Config!$H$2,"SALDO CRÍTICO",IF(J446&lt;=Config!$H$3,"SALDO BAIXO","OK"))))</x:f>
      </x:c>
      <x:c r="L446" s="34"/>
      <x:c r="M446" s="30"/>
    </x:row>
    <x:row r="447">
      <x:c r="A447" s="30" t="str">
        <x:f>IF(B447="","",MAX($A$5:A446)+1)</x:f>
      </x:c>
      <x:c r="B447" s="30"/>
      <x:c r="C447" s="32"/>
      <x:c r="D447" s="30"/>
      <x:c r="E447" s="30"/>
      <x:c r="F447" s="30"/>
      <x:c r="G447" s="30"/>
      <x:c r="H447" s="34"/>
      <x:c r="I447" s="34"/>
      <x:c r="J447" s="34" t="str">
        <x:f>IF(B447="","",SUMIFS($H$5:$H$500,$B$5:$B$500,B447,$A$5:$A$500,"&lt;="&amp;A447)-SUMIFS($I$5:$I$500,$B$5:$B$500,B447,$A$5:$A$500,"&lt;="&amp;A447))</x:f>
      </x:c>
      <x:c r="K447" s="30" t="str">
        <x:f>IF(B447="","",IF(J447&lt;=0,"ESGOTADO",IF(J447&lt;=Config!$H$2,"SALDO CRÍTICO",IF(J447&lt;=Config!$H$3,"SALDO BAIXO","OK"))))</x:f>
      </x:c>
      <x:c r="L447" s="34"/>
      <x:c r="M447" s="30"/>
    </x:row>
    <x:row r="448">
      <x:c r="A448" s="30" t="str">
        <x:f>IF(B448="","",MAX($A$5:A447)+1)</x:f>
      </x:c>
      <x:c r="B448" s="30"/>
      <x:c r="C448" s="32"/>
      <x:c r="D448" s="30"/>
      <x:c r="E448" s="30"/>
      <x:c r="F448" s="30"/>
      <x:c r="G448" s="30"/>
      <x:c r="H448" s="34"/>
      <x:c r="I448" s="34"/>
      <x:c r="J448" s="34" t="str">
        <x:f>IF(B448="","",SUMIFS($H$5:$H$500,$B$5:$B$500,B448,$A$5:$A$500,"&lt;="&amp;A448)-SUMIFS($I$5:$I$500,$B$5:$B$500,B448,$A$5:$A$500,"&lt;="&amp;A448))</x:f>
      </x:c>
      <x:c r="K448" s="30" t="str">
        <x:f>IF(B448="","",IF(J448&lt;=0,"ESGOTADO",IF(J448&lt;=Config!$H$2,"SALDO CRÍTICO",IF(J448&lt;=Config!$H$3,"SALDO BAIXO","OK"))))</x:f>
      </x:c>
      <x:c r="L448" s="34"/>
      <x:c r="M448" s="30"/>
    </x:row>
    <x:row r="449">
      <x:c r="A449" s="30" t="str">
        <x:f>IF(B449="","",MAX($A$5:A448)+1)</x:f>
      </x:c>
      <x:c r="B449" s="30"/>
      <x:c r="C449" s="32"/>
      <x:c r="D449" s="30"/>
      <x:c r="E449" s="30"/>
      <x:c r="F449" s="30"/>
      <x:c r="G449" s="30"/>
      <x:c r="H449" s="34"/>
      <x:c r="I449" s="34"/>
      <x:c r="J449" s="34" t="str">
        <x:f>IF(B449="","",SUMIFS($H$5:$H$500,$B$5:$B$500,B449,$A$5:$A$500,"&lt;="&amp;A449)-SUMIFS($I$5:$I$500,$B$5:$B$500,B449,$A$5:$A$500,"&lt;="&amp;A449))</x:f>
      </x:c>
      <x:c r="K449" s="30" t="str">
        <x:f>IF(B449="","",IF(J449&lt;=0,"ESGOTADO",IF(J449&lt;=Config!$H$2,"SALDO CRÍTICO",IF(J449&lt;=Config!$H$3,"SALDO BAIXO","OK"))))</x:f>
      </x:c>
      <x:c r="L449" s="34"/>
      <x:c r="M449" s="30"/>
    </x:row>
    <x:row r="450">
      <x:c r="A450" s="30" t="str">
        <x:f>IF(B450="","",MAX($A$5:A449)+1)</x:f>
      </x:c>
      <x:c r="B450" s="30"/>
      <x:c r="C450" s="32"/>
      <x:c r="D450" s="30"/>
      <x:c r="E450" s="30"/>
      <x:c r="F450" s="30"/>
      <x:c r="G450" s="30"/>
      <x:c r="H450" s="34"/>
      <x:c r="I450" s="34"/>
      <x:c r="J450" s="34" t="str">
        <x:f>IF(B450="","",SUMIFS($H$5:$H$500,$B$5:$B$500,B450,$A$5:$A$500,"&lt;="&amp;A450)-SUMIFS($I$5:$I$500,$B$5:$B$500,B450,$A$5:$A$500,"&lt;="&amp;A450))</x:f>
      </x:c>
      <x:c r="K450" s="30" t="str">
        <x:f>IF(B450="","",IF(J450&lt;=0,"ESGOTADO",IF(J450&lt;=Config!$H$2,"SALDO CRÍTICO",IF(J450&lt;=Config!$H$3,"SALDO BAIXO","OK"))))</x:f>
      </x:c>
      <x:c r="L450" s="34"/>
      <x:c r="M450" s="30"/>
    </x:row>
    <x:row r="451">
      <x:c r="A451" s="30" t="str">
        <x:f>IF(B451="","",MAX($A$5:A450)+1)</x:f>
      </x:c>
      <x:c r="B451" s="30"/>
      <x:c r="C451" s="32"/>
      <x:c r="D451" s="30"/>
      <x:c r="E451" s="30"/>
      <x:c r="F451" s="30"/>
      <x:c r="G451" s="30"/>
      <x:c r="H451" s="34"/>
      <x:c r="I451" s="34"/>
      <x:c r="J451" s="34" t="str">
        <x:f>IF(B451="","",SUMIFS($H$5:$H$500,$B$5:$B$500,B451,$A$5:$A$500,"&lt;="&amp;A451)-SUMIFS($I$5:$I$500,$B$5:$B$500,B451,$A$5:$A$500,"&lt;="&amp;A451))</x:f>
      </x:c>
      <x:c r="K451" s="30" t="str">
        <x:f>IF(B451="","",IF(J451&lt;=0,"ESGOTADO",IF(J451&lt;=Config!$H$2,"SALDO CRÍTICO",IF(J451&lt;=Config!$H$3,"SALDO BAIXO","OK"))))</x:f>
      </x:c>
      <x:c r="L451" s="34"/>
      <x:c r="M451" s="30"/>
    </x:row>
    <x:row r="452">
      <x:c r="A452" s="30" t="str">
        <x:f>IF(B452="","",MAX($A$5:A451)+1)</x:f>
      </x:c>
      <x:c r="B452" s="30"/>
      <x:c r="C452" s="32"/>
      <x:c r="D452" s="30"/>
      <x:c r="E452" s="30"/>
      <x:c r="F452" s="30"/>
      <x:c r="G452" s="30"/>
      <x:c r="H452" s="34"/>
      <x:c r="I452" s="34"/>
      <x:c r="J452" s="34" t="str">
        <x:f>IF(B452="","",SUMIFS($H$5:$H$500,$B$5:$B$500,B452,$A$5:$A$500,"&lt;="&amp;A452)-SUMIFS($I$5:$I$500,$B$5:$B$500,B452,$A$5:$A$500,"&lt;="&amp;A452))</x:f>
      </x:c>
      <x:c r="K452" s="30" t="str">
        <x:f>IF(B452="","",IF(J452&lt;=0,"ESGOTADO",IF(J452&lt;=Config!$H$2,"SALDO CRÍTICO",IF(J452&lt;=Config!$H$3,"SALDO BAIXO","OK"))))</x:f>
      </x:c>
      <x:c r="L452" s="34"/>
      <x:c r="M452" s="30"/>
    </x:row>
    <x:row r="453">
      <x:c r="A453" s="30" t="str">
        <x:f>IF(B453="","",MAX($A$5:A452)+1)</x:f>
      </x:c>
      <x:c r="B453" s="30"/>
      <x:c r="C453" s="32"/>
      <x:c r="D453" s="30"/>
      <x:c r="E453" s="30"/>
      <x:c r="F453" s="30"/>
      <x:c r="G453" s="30"/>
      <x:c r="H453" s="34"/>
      <x:c r="I453" s="34"/>
      <x:c r="J453" s="34" t="str">
        <x:f>IF(B453="","",SUMIFS($H$5:$H$500,$B$5:$B$500,B453,$A$5:$A$500,"&lt;="&amp;A453)-SUMIFS($I$5:$I$500,$B$5:$B$500,B453,$A$5:$A$500,"&lt;="&amp;A453))</x:f>
      </x:c>
      <x:c r="K453" s="30" t="str">
        <x:f>IF(B453="","",IF(J453&lt;=0,"ESGOTADO",IF(J453&lt;=Config!$H$2,"SALDO CRÍTICO",IF(J453&lt;=Config!$H$3,"SALDO BAIXO","OK"))))</x:f>
      </x:c>
      <x:c r="L453" s="34"/>
      <x:c r="M453" s="30"/>
    </x:row>
    <x:row r="454">
      <x:c r="A454" s="30" t="str">
        <x:f>IF(B454="","",MAX($A$5:A453)+1)</x:f>
      </x:c>
      <x:c r="B454" s="30"/>
      <x:c r="C454" s="32"/>
      <x:c r="D454" s="30"/>
      <x:c r="E454" s="30"/>
      <x:c r="F454" s="30"/>
      <x:c r="G454" s="30"/>
      <x:c r="H454" s="34"/>
      <x:c r="I454" s="34"/>
      <x:c r="J454" s="34" t="str">
        <x:f>IF(B454="","",SUMIFS($H$5:$H$500,$B$5:$B$500,B454,$A$5:$A$500,"&lt;="&amp;A454)-SUMIFS($I$5:$I$500,$B$5:$B$500,B454,$A$5:$A$500,"&lt;="&amp;A454))</x:f>
      </x:c>
      <x:c r="K454" s="30" t="str">
        <x:f>IF(B454="","",IF(J454&lt;=0,"ESGOTADO",IF(J454&lt;=Config!$H$2,"SALDO CRÍTICO",IF(J454&lt;=Config!$H$3,"SALDO BAIXO","OK"))))</x:f>
      </x:c>
      <x:c r="L454" s="34"/>
      <x:c r="M454" s="30"/>
    </x:row>
    <x:row r="455">
      <x:c r="A455" s="30" t="str">
        <x:f>IF(B455="","",MAX($A$5:A454)+1)</x:f>
      </x:c>
      <x:c r="B455" s="30"/>
      <x:c r="C455" s="32"/>
      <x:c r="D455" s="30"/>
      <x:c r="E455" s="30"/>
      <x:c r="F455" s="30"/>
      <x:c r="G455" s="30"/>
      <x:c r="H455" s="34"/>
      <x:c r="I455" s="34"/>
      <x:c r="J455" s="34" t="str">
        <x:f>IF(B455="","",SUMIFS($H$5:$H$500,$B$5:$B$500,B455,$A$5:$A$500,"&lt;="&amp;A455)-SUMIFS($I$5:$I$500,$B$5:$B$500,B455,$A$5:$A$500,"&lt;="&amp;A455))</x:f>
      </x:c>
      <x:c r="K455" s="30" t="str">
        <x:f>IF(B455="","",IF(J455&lt;=0,"ESGOTADO",IF(J455&lt;=Config!$H$2,"SALDO CRÍTICO",IF(J455&lt;=Config!$H$3,"SALDO BAIXO","OK"))))</x:f>
      </x:c>
      <x:c r="L455" s="34"/>
      <x:c r="M455" s="30"/>
    </x:row>
    <x:row r="456">
      <x:c r="A456" s="30" t="str">
        <x:f>IF(B456="","",MAX($A$5:A455)+1)</x:f>
      </x:c>
      <x:c r="B456" s="30"/>
      <x:c r="C456" s="32"/>
      <x:c r="D456" s="30"/>
      <x:c r="E456" s="30"/>
      <x:c r="F456" s="30"/>
      <x:c r="G456" s="30"/>
      <x:c r="H456" s="34"/>
      <x:c r="I456" s="34"/>
      <x:c r="J456" s="34" t="str">
        <x:f>IF(B456="","",SUMIFS($H$5:$H$500,$B$5:$B$500,B456,$A$5:$A$500,"&lt;="&amp;A456)-SUMIFS($I$5:$I$500,$B$5:$B$500,B456,$A$5:$A$500,"&lt;="&amp;A456))</x:f>
      </x:c>
      <x:c r="K456" s="30" t="str">
        <x:f>IF(B456="","",IF(J456&lt;=0,"ESGOTADO",IF(J456&lt;=Config!$H$2,"SALDO CRÍTICO",IF(J456&lt;=Config!$H$3,"SALDO BAIXO","OK"))))</x:f>
      </x:c>
      <x:c r="L456" s="34"/>
      <x:c r="M456" s="30"/>
    </x:row>
    <x:row r="457">
      <x:c r="A457" s="30" t="str">
        <x:f>IF(B457="","",MAX($A$5:A456)+1)</x:f>
      </x:c>
      <x:c r="B457" s="30"/>
      <x:c r="C457" s="32"/>
      <x:c r="D457" s="30"/>
      <x:c r="E457" s="30"/>
      <x:c r="F457" s="30"/>
      <x:c r="G457" s="30"/>
      <x:c r="H457" s="34"/>
      <x:c r="I457" s="34"/>
      <x:c r="J457" s="34" t="str">
        <x:f>IF(B457="","",SUMIFS($H$5:$H$500,$B$5:$B$500,B457,$A$5:$A$500,"&lt;="&amp;A457)-SUMIFS($I$5:$I$500,$B$5:$B$500,B457,$A$5:$A$500,"&lt;="&amp;A457))</x:f>
      </x:c>
      <x:c r="K457" s="30" t="str">
        <x:f>IF(B457="","",IF(J457&lt;=0,"ESGOTADO",IF(J457&lt;=Config!$H$2,"SALDO CRÍTICO",IF(J457&lt;=Config!$H$3,"SALDO BAIXO","OK"))))</x:f>
      </x:c>
      <x:c r="L457" s="34"/>
      <x:c r="M457" s="30"/>
    </x:row>
    <x:row r="458">
      <x:c r="A458" s="30" t="str">
        <x:f>IF(B458="","",MAX($A$5:A457)+1)</x:f>
      </x:c>
      <x:c r="B458" s="30"/>
      <x:c r="C458" s="32"/>
      <x:c r="D458" s="30"/>
      <x:c r="E458" s="30"/>
      <x:c r="F458" s="30"/>
      <x:c r="G458" s="30"/>
      <x:c r="H458" s="34"/>
      <x:c r="I458" s="34"/>
      <x:c r="J458" s="34" t="str">
        <x:f>IF(B458="","",SUMIFS($H$5:$H$500,$B$5:$B$500,B458,$A$5:$A$500,"&lt;="&amp;A458)-SUMIFS($I$5:$I$500,$B$5:$B$500,B458,$A$5:$A$500,"&lt;="&amp;A458))</x:f>
      </x:c>
      <x:c r="K458" s="30" t="str">
        <x:f>IF(B458="","",IF(J458&lt;=0,"ESGOTADO",IF(J458&lt;=Config!$H$2,"SALDO CRÍTICO",IF(J458&lt;=Config!$H$3,"SALDO BAIXO","OK"))))</x:f>
      </x:c>
      <x:c r="L458" s="34"/>
      <x:c r="M458" s="30"/>
    </x:row>
    <x:row r="459">
      <x:c r="A459" s="30" t="str">
        <x:f>IF(B459="","",MAX($A$5:A458)+1)</x:f>
      </x:c>
      <x:c r="B459" s="30"/>
      <x:c r="C459" s="32"/>
      <x:c r="D459" s="30"/>
      <x:c r="E459" s="30"/>
      <x:c r="F459" s="30"/>
      <x:c r="G459" s="30"/>
      <x:c r="H459" s="34"/>
      <x:c r="I459" s="34"/>
      <x:c r="J459" s="34" t="str">
        <x:f>IF(B459="","",SUMIFS($H$5:$H$500,$B$5:$B$500,B459,$A$5:$A$500,"&lt;="&amp;A459)-SUMIFS($I$5:$I$500,$B$5:$B$500,B459,$A$5:$A$500,"&lt;="&amp;A459))</x:f>
      </x:c>
      <x:c r="K459" s="30" t="str">
        <x:f>IF(B459="","",IF(J459&lt;=0,"ESGOTADO",IF(J459&lt;=Config!$H$2,"SALDO CRÍTICO",IF(J459&lt;=Config!$H$3,"SALDO BAIXO","OK"))))</x:f>
      </x:c>
      <x:c r="L459" s="34"/>
      <x:c r="M459" s="30"/>
    </x:row>
    <x:row r="460">
      <x:c r="A460" s="30" t="str">
        <x:f>IF(B460="","",MAX($A$5:A459)+1)</x:f>
      </x:c>
      <x:c r="B460" s="30"/>
      <x:c r="C460" s="32"/>
      <x:c r="D460" s="30"/>
      <x:c r="E460" s="30"/>
      <x:c r="F460" s="30"/>
      <x:c r="G460" s="30"/>
      <x:c r="H460" s="34"/>
      <x:c r="I460" s="34"/>
      <x:c r="J460" s="34" t="str">
        <x:f>IF(B460="","",SUMIFS($H$5:$H$500,$B$5:$B$500,B460,$A$5:$A$500,"&lt;="&amp;A460)-SUMIFS($I$5:$I$500,$B$5:$B$500,B460,$A$5:$A$500,"&lt;="&amp;A460))</x:f>
      </x:c>
      <x:c r="K460" s="30" t="str">
        <x:f>IF(B460="","",IF(J460&lt;=0,"ESGOTADO",IF(J460&lt;=Config!$H$2,"SALDO CRÍTICO",IF(J460&lt;=Config!$H$3,"SALDO BAIXO","OK"))))</x:f>
      </x:c>
      <x:c r="L460" s="34"/>
      <x:c r="M460" s="30"/>
    </x:row>
    <x:row r="461">
      <x:c r="A461" s="30" t="str">
        <x:f>IF(B461="","",MAX($A$5:A460)+1)</x:f>
      </x:c>
      <x:c r="B461" s="30"/>
      <x:c r="C461" s="32"/>
      <x:c r="D461" s="30"/>
      <x:c r="E461" s="30"/>
      <x:c r="F461" s="30"/>
      <x:c r="G461" s="30"/>
      <x:c r="H461" s="34"/>
      <x:c r="I461" s="34"/>
      <x:c r="J461" s="34" t="str">
        <x:f>IF(B461="","",SUMIFS($H$5:$H$500,$B$5:$B$500,B461,$A$5:$A$500,"&lt;="&amp;A461)-SUMIFS($I$5:$I$500,$B$5:$B$500,B461,$A$5:$A$500,"&lt;="&amp;A461))</x:f>
      </x:c>
      <x:c r="K461" s="30" t="str">
        <x:f>IF(B461="","",IF(J461&lt;=0,"ESGOTADO",IF(J461&lt;=Config!$H$2,"SALDO CRÍTICO",IF(J461&lt;=Config!$H$3,"SALDO BAIXO","OK"))))</x:f>
      </x:c>
      <x:c r="L461" s="34"/>
      <x:c r="M461" s="30"/>
    </x:row>
    <x:row r="462">
      <x:c r="A462" s="30" t="str">
        <x:f>IF(B462="","",MAX($A$5:A461)+1)</x:f>
      </x:c>
      <x:c r="B462" s="30"/>
      <x:c r="C462" s="32"/>
      <x:c r="D462" s="30"/>
      <x:c r="E462" s="30"/>
      <x:c r="F462" s="30"/>
      <x:c r="G462" s="30"/>
      <x:c r="H462" s="34"/>
      <x:c r="I462" s="34"/>
      <x:c r="J462" s="34" t="str">
        <x:f>IF(B462="","",SUMIFS($H$5:$H$500,$B$5:$B$500,B462,$A$5:$A$500,"&lt;="&amp;A462)-SUMIFS($I$5:$I$500,$B$5:$B$500,B462,$A$5:$A$500,"&lt;="&amp;A462))</x:f>
      </x:c>
      <x:c r="K462" s="30" t="str">
        <x:f>IF(B462="","",IF(J462&lt;=0,"ESGOTADO",IF(J462&lt;=Config!$H$2,"SALDO CRÍTICO",IF(J462&lt;=Config!$H$3,"SALDO BAIXO","OK"))))</x:f>
      </x:c>
      <x:c r="L462" s="34"/>
      <x:c r="M462" s="30"/>
    </x:row>
    <x:row r="463">
      <x:c r="A463" s="30" t="str">
        <x:f>IF(B463="","",MAX($A$5:A462)+1)</x:f>
      </x:c>
      <x:c r="B463" s="30"/>
      <x:c r="C463" s="32"/>
      <x:c r="D463" s="30"/>
      <x:c r="E463" s="30"/>
      <x:c r="F463" s="30"/>
      <x:c r="G463" s="30"/>
      <x:c r="H463" s="34"/>
      <x:c r="I463" s="34"/>
      <x:c r="J463" s="34" t="str">
        <x:f>IF(B463="","",SUMIFS($H$5:$H$500,$B$5:$B$500,B463,$A$5:$A$500,"&lt;="&amp;A463)-SUMIFS($I$5:$I$500,$B$5:$B$500,B463,$A$5:$A$500,"&lt;="&amp;A463))</x:f>
      </x:c>
      <x:c r="K463" s="30" t="str">
        <x:f>IF(B463="","",IF(J463&lt;=0,"ESGOTADO",IF(J463&lt;=Config!$H$2,"SALDO CRÍTICO",IF(J463&lt;=Config!$H$3,"SALDO BAIXO","OK"))))</x:f>
      </x:c>
      <x:c r="L463" s="34"/>
      <x:c r="M463" s="30"/>
    </x:row>
    <x:row r="464">
      <x:c r="A464" s="30" t="str">
        <x:f>IF(B464="","",MAX($A$5:A463)+1)</x:f>
      </x:c>
      <x:c r="B464" s="30"/>
      <x:c r="C464" s="32"/>
      <x:c r="D464" s="30"/>
      <x:c r="E464" s="30"/>
      <x:c r="F464" s="30"/>
      <x:c r="G464" s="30"/>
      <x:c r="H464" s="34"/>
      <x:c r="I464" s="34"/>
      <x:c r="J464" s="34" t="str">
        <x:f>IF(B464="","",SUMIFS($H$5:$H$500,$B$5:$B$500,B464,$A$5:$A$500,"&lt;="&amp;A464)-SUMIFS($I$5:$I$500,$B$5:$B$500,B464,$A$5:$A$500,"&lt;="&amp;A464))</x:f>
      </x:c>
      <x:c r="K464" s="30" t="str">
        <x:f>IF(B464="","",IF(J464&lt;=0,"ESGOTADO",IF(J464&lt;=Config!$H$2,"SALDO CRÍTICO",IF(J464&lt;=Config!$H$3,"SALDO BAIXO","OK"))))</x:f>
      </x:c>
      <x:c r="L464" s="34"/>
      <x:c r="M464" s="30"/>
    </x:row>
    <x:row r="465">
      <x:c r="A465" s="30" t="str">
        <x:f>IF(B465="","",MAX($A$5:A464)+1)</x:f>
      </x:c>
      <x:c r="B465" s="30"/>
      <x:c r="C465" s="32"/>
      <x:c r="D465" s="30"/>
      <x:c r="E465" s="30"/>
      <x:c r="F465" s="30"/>
      <x:c r="G465" s="30"/>
      <x:c r="H465" s="34"/>
      <x:c r="I465" s="34"/>
      <x:c r="J465" s="34" t="str">
        <x:f>IF(B465="","",SUMIFS($H$5:$H$500,$B$5:$B$500,B465,$A$5:$A$500,"&lt;="&amp;A465)-SUMIFS($I$5:$I$500,$B$5:$B$500,B465,$A$5:$A$500,"&lt;="&amp;A465))</x:f>
      </x:c>
      <x:c r="K465" s="30" t="str">
        <x:f>IF(B465="","",IF(J465&lt;=0,"ESGOTADO",IF(J465&lt;=Config!$H$2,"SALDO CRÍTICO",IF(J465&lt;=Config!$H$3,"SALDO BAIXO","OK"))))</x:f>
      </x:c>
      <x:c r="L465" s="34"/>
      <x:c r="M465" s="30"/>
    </x:row>
    <x:row r="466">
      <x:c r="A466" s="30" t="str">
        <x:f>IF(B466="","",MAX($A$5:A465)+1)</x:f>
      </x:c>
      <x:c r="B466" s="30"/>
      <x:c r="C466" s="32"/>
      <x:c r="D466" s="30"/>
      <x:c r="E466" s="30"/>
      <x:c r="F466" s="30"/>
      <x:c r="G466" s="30"/>
      <x:c r="H466" s="34"/>
      <x:c r="I466" s="34"/>
      <x:c r="J466" s="34" t="str">
        <x:f>IF(B466="","",SUMIFS($H$5:$H$500,$B$5:$B$500,B466,$A$5:$A$500,"&lt;="&amp;A466)-SUMIFS($I$5:$I$500,$B$5:$B$500,B466,$A$5:$A$500,"&lt;="&amp;A466))</x:f>
      </x:c>
      <x:c r="K466" s="30" t="str">
        <x:f>IF(B466="","",IF(J466&lt;=0,"ESGOTADO",IF(J466&lt;=Config!$H$2,"SALDO CRÍTICO",IF(J466&lt;=Config!$H$3,"SALDO BAIXO","OK"))))</x:f>
      </x:c>
      <x:c r="L466" s="34"/>
      <x:c r="M466" s="30"/>
    </x:row>
    <x:row r="467">
      <x:c r="A467" s="30" t="str">
        <x:f>IF(B467="","",MAX($A$5:A466)+1)</x:f>
      </x:c>
      <x:c r="B467" s="30"/>
      <x:c r="C467" s="32"/>
      <x:c r="D467" s="30"/>
      <x:c r="E467" s="30"/>
      <x:c r="F467" s="30"/>
      <x:c r="G467" s="30"/>
      <x:c r="H467" s="34"/>
      <x:c r="I467" s="34"/>
      <x:c r="J467" s="34" t="str">
        <x:f>IF(B467="","",SUMIFS($H$5:$H$500,$B$5:$B$500,B467,$A$5:$A$500,"&lt;="&amp;A467)-SUMIFS($I$5:$I$500,$B$5:$B$500,B467,$A$5:$A$500,"&lt;="&amp;A467))</x:f>
      </x:c>
      <x:c r="K467" s="30" t="str">
        <x:f>IF(B467="","",IF(J467&lt;=0,"ESGOTADO",IF(J467&lt;=Config!$H$2,"SALDO CRÍTICO",IF(J467&lt;=Config!$H$3,"SALDO BAIXO","OK"))))</x:f>
      </x:c>
      <x:c r="L467" s="34"/>
      <x:c r="M467" s="30"/>
    </x:row>
    <x:row r="468">
      <x:c r="A468" s="30" t="str">
        <x:f>IF(B468="","",MAX($A$5:A467)+1)</x:f>
      </x:c>
      <x:c r="B468" s="30"/>
      <x:c r="C468" s="32"/>
      <x:c r="D468" s="30"/>
      <x:c r="E468" s="30"/>
      <x:c r="F468" s="30"/>
      <x:c r="G468" s="30"/>
      <x:c r="H468" s="34"/>
      <x:c r="I468" s="34"/>
      <x:c r="J468" s="34" t="str">
        <x:f>IF(B468="","",SUMIFS($H$5:$H$500,$B$5:$B$500,B468,$A$5:$A$500,"&lt;="&amp;A468)-SUMIFS($I$5:$I$500,$B$5:$B$500,B468,$A$5:$A$500,"&lt;="&amp;A468))</x:f>
      </x:c>
      <x:c r="K468" s="30" t="str">
        <x:f>IF(B468="","",IF(J468&lt;=0,"ESGOTADO",IF(J468&lt;=Config!$H$2,"SALDO CRÍTICO",IF(J468&lt;=Config!$H$3,"SALDO BAIXO","OK"))))</x:f>
      </x:c>
      <x:c r="L468" s="34"/>
      <x:c r="M468" s="30"/>
    </x:row>
    <x:row r="469">
      <x:c r="A469" s="30" t="str">
        <x:f>IF(B469="","",MAX($A$5:A468)+1)</x:f>
      </x:c>
      <x:c r="B469" s="30"/>
      <x:c r="C469" s="32"/>
      <x:c r="D469" s="30"/>
      <x:c r="E469" s="30"/>
      <x:c r="F469" s="30"/>
      <x:c r="G469" s="30"/>
      <x:c r="H469" s="34"/>
      <x:c r="I469" s="34"/>
      <x:c r="J469" s="34" t="str">
        <x:f>IF(B469="","",SUMIFS($H$5:$H$500,$B$5:$B$500,B469,$A$5:$A$500,"&lt;="&amp;A469)-SUMIFS($I$5:$I$500,$B$5:$B$500,B469,$A$5:$A$500,"&lt;="&amp;A469))</x:f>
      </x:c>
      <x:c r="K469" s="30" t="str">
        <x:f>IF(B469="","",IF(J469&lt;=0,"ESGOTADO",IF(J469&lt;=Config!$H$2,"SALDO CRÍTICO",IF(J469&lt;=Config!$H$3,"SALDO BAIXO","OK"))))</x:f>
      </x:c>
      <x:c r="L469" s="34"/>
      <x:c r="M469" s="30"/>
    </x:row>
    <x:row r="470">
      <x:c r="A470" s="30" t="str">
        <x:f>IF(B470="","",MAX($A$5:A469)+1)</x:f>
      </x:c>
      <x:c r="B470" s="30"/>
      <x:c r="C470" s="32"/>
      <x:c r="D470" s="30"/>
      <x:c r="E470" s="30"/>
      <x:c r="F470" s="30"/>
      <x:c r="G470" s="30"/>
      <x:c r="H470" s="34"/>
      <x:c r="I470" s="34"/>
      <x:c r="J470" s="34" t="str">
        <x:f>IF(B470="","",SUMIFS($H$5:$H$500,$B$5:$B$500,B470,$A$5:$A$500,"&lt;="&amp;A470)-SUMIFS($I$5:$I$500,$B$5:$B$500,B470,$A$5:$A$500,"&lt;="&amp;A470))</x:f>
      </x:c>
      <x:c r="K470" s="30" t="str">
        <x:f>IF(B470="","",IF(J470&lt;=0,"ESGOTADO",IF(J470&lt;=Config!$H$2,"SALDO CRÍTICO",IF(J470&lt;=Config!$H$3,"SALDO BAIXO","OK"))))</x:f>
      </x:c>
      <x:c r="L470" s="34"/>
      <x:c r="M470" s="30"/>
    </x:row>
    <x:row r="471">
      <x:c r="A471" s="30" t="str">
        <x:f>IF(B471="","",MAX($A$5:A470)+1)</x:f>
      </x:c>
      <x:c r="B471" s="30"/>
      <x:c r="C471" s="32"/>
      <x:c r="D471" s="30"/>
      <x:c r="E471" s="30"/>
      <x:c r="F471" s="30"/>
      <x:c r="G471" s="30"/>
      <x:c r="H471" s="34"/>
      <x:c r="I471" s="34"/>
      <x:c r="J471" s="34" t="str">
        <x:f>IF(B471="","",SUMIFS($H$5:$H$500,$B$5:$B$500,B471,$A$5:$A$500,"&lt;="&amp;A471)-SUMIFS($I$5:$I$500,$B$5:$B$500,B471,$A$5:$A$500,"&lt;="&amp;A471))</x:f>
      </x:c>
      <x:c r="K471" s="30" t="str">
        <x:f>IF(B471="","",IF(J471&lt;=0,"ESGOTADO",IF(J471&lt;=Config!$H$2,"SALDO CRÍTICO",IF(J471&lt;=Config!$H$3,"SALDO BAIXO","OK"))))</x:f>
      </x:c>
      <x:c r="L471" s="34"/>
      <x:c r="M471" s="30"/>
    </x:row>
    <x:row r="472">
      <x:c r="A472" s="30" t="str">
        <x:f>IF(B472="","",MAX($A$5:A471)+1)</x:f>
      </x:c>
      <x:c r="B472" s="30"/>
      <x:c r="C472" s="32"/>
      <x:c r="D472" s="30"/>
      <x:c r="E472" s="30"/>
      <x:c r="F472" s="30"/>
      <x:c r="G472" s="30"/>
      <x:c r="H472" s="34"/>
      <x:c r="I472" s="34"/>
      <x:c r="J472" s="34" t="str">
        <x:f>IF(B472="","",SUMIFS($H$5:$H$500,$B$5:$B$500,B472,$A$5:$A$500,"&lt;="&amp;A472)-SUMIFS($I$5:$I$500,$B$5:$B$500,B472,$A$5:$A$500,"&lt;="&amp;A472))</x:f>
      </x:c>
      <x:c r="K472" s="30" t="str">
        <x:f>IF(B472="","",IF(J472&lt;=0,"ESGOTADO",IF(J472&lt;=Config!$H$2,"SALDO CRÍTICO",IF(J472&lt;=Config!$H$3,"SALDO BAIXO","OK"))))</x:f>
      </x:c>
      <x:c r="L472" s="34"/>
      <x:c r="M472" s="30"/>
    </x:row>
    <x:row r="473">
      <x:c r="A473" s="30" t="str">
        <x:f>IF(B473="","",MAX($A$5:A472)+1)</x:f>
      </x:c>
      <x:c r="B473" s="30"/>
      <x:c r="C473" s="32"/>
      <x:c r="D473" s="30"/>
      <x:c r="E473" s="30"/>
      <x:c r="F473" s="30"/>
      <x:c r="G473" s="30"/>
      <x:c r="H473" s="34"/>
      <x:c r="I473" s="34"/>
      <x:c r="J473" s="34" t="str">
        <x:f>IF(B473="","",SUMIFS($H$5:$H$500,$B$5:$B$500,B473,$A$5:$A$500,"&lt;="&amp;A473)-SUMIFS($I$5:$I$500,$B$5:$B$500,B473,$A$5:$A$500,"&lt;="&amp;A473))</x:f>
      </x:c>
      <x:c r="K473" s="30" t="str">
        <x:f>IF(B473="","",IF(J473&lt;=0,"ESGOTADO",IF(J473&lt;=Config!$H$2,"SALDO CRÍTICO",IF(J473&lt;=Config!$H$3,"SALDO BAIXO","OK"))))</x:f>
      </x:c>
      <x:c r="L473" s="34"/>
      <x:c r="M473" s="30"/>
    </x:row>
    <x:row r="474">
      <x:c r="A474" s="30" t="str">
        <x:f>IF(B474="","",MAX($A$5:A473)+1)</x:f>
      </x:c>
      <x:c r="B474" s="30"/>
      <x:c r="C474" s="32"/>
      <x:c r="D474" s="30"/>
      <x:c r="E474" s="30"/>
      <x:c r="F474" s="30"/>
      <x:c r="G474" s="30"/>
      <x:c r="H474" s="34"/>
      <x:c r="I474" s="34"/>
      <x:c r="J474" s="34" t="str">
        <x:f>IF(B474="","",SUMIFS($H$5:$H$500,$B$5:$B$500,B474,$A$5:$A$500,"&lt;="&amp;A474)-SUMIFS($I$5:$I$500,$B$5:$B$500,B474,$A$5:$A$500,"&lt;="&amp;A474))</x:f>
      </x:c>
      <x:c r="K474" s="30" t="str">
        <x:f>IF(B474="","",IF(J474&lt;=0,"ESGOTADO",IF(J474&lt;=Config!$H$2,"SALDO CRÍTICO",IF(J474&lt;=Config!$H$3,"SALDO BAIXO","OK"))))</x:f>
      </x:c>
      <x:c r="L474" s="34"/>
      <x:c r="M474" s="30"/>
    </x:row>
    <x:row r="475">
      <x:c r="A475" s="30" t="str">
        <x:f>IF(B475="","",MAX($A$5:A474)+1)</x:f>
      </x:c>
      <x:c r="B475" s="30"/>
      <x:c r="C475" s="32"/>
      <x:c r="D475" s="30"/>
      <x:c r="E475" s="30"/>
      <x:c r="F475" s="30"/>
      <x:c r="G475" s="30"/>
      <x:c r="H475" s="34"/>
      <x:c r="I475" s="34"/>
      <x:c r="J475" s="34" t="str">
        <x:f>IF(B475="","",SUMIFS($H$5:$H$500,$B$5:$B$500,B475,$A$5:$A$500,"&lt;="&amp;A475)-SUMIFS($I$5:$I$500,$B$5:$B$500,B475,$A$5:$A$500,"&lt;="&amp;A475))</x:f>
      </x:c>
      <x:c r="K475" s="30" t="str">
        <x:f>IF(B475="","",IF(J475&lt;=0,"ESGOTADO",IF(J475&lt;=Config!$H$2,"SALDO CRÍTICO",IF(J475&lt;=Config!$H$3,"SALDO BAIXO","OK"))))</x:f>
      </x:c>
      <x:c r="L475" s="34"/>
      <x:c r="M475" s="30"/>
    </x:row>
    <x:row r="476">
      <x:c r="A476" s="30" t="str">
        <x:f>IF(B476="","",MAX($A$5:A475)+1)</x:f>
      </x:c>
      <x:c r="B476" s="30"/>
      <x:c r="C476" s="32"/>
      <x:c r="D476" s="30"/>
      <x:c r="E476" s="30"/>
      <x:c r="F476" s="30"/>
      <x:c r="G476" s="30"/>
      <x:c r="H476" s="34"/>
      <x:c r="I476" s="34"/>
      <x:c r="J476" s="34" t="str">
        <x:f>IF(B476="","",SUMIFS($H$5:$H$500,$B$5:$B$500,B476,$A$5:$A$500,"&lt;="&amp;A476)-SUMIFS($I$5:$I$500,$B$5:$B$500,B476,$A$5:$A$500,"&lt;="&amp;A476))</x:f>
      </x:c>
      <x:c r="K476" s="30" t="str">
        <x:f>IF(B476="","",IF(J476&lt;=0,"ESGOTADO",IF(J476&lt;=Config!$H$2,"SALDO CRÍTICO",IF(J476&lt;=Config!$H$3,"SALDO BAIXO","OK"))))</x:f>
      </x:c>
      <x:c r="L476" s="34"/>
      <x:c r="M476" s="30"/>
    </x:row>
    <x:row r="477">
      <x:c r="A477" s="30" t="str">
        <x:f>IF(B477="","",MAX($A$5:A476)+1)</x:f>
      </x:c>
      <x:c r="B477" s="30"/>
      <x:c r="C477" s="32"/>
      <x:c r="D477" s="30"/>
      <x:c r="E477" s="30"/>
      <x:c r="F477" s="30"/>
      <x:c r="G477" s="30"/>
      <x:c r="H477" s="34"/>
      <x:c r="I477" s="34"/>
      <x:c r="J477" s="34" t="str">
        <x:f>IF(B477="","",SUMIFS($H$5:$H$500,$B$5:$B$500,B477,$A$5:$A$500,"&lt;="&amp;A477)-SUMIFS($I$5:$I$500,$B$5:$B$500,B477,$A$5:$A$500,"&lt;="&amp;A477))</x:f>
      </x:c>
      <x:c r="K477" s="30" t="str">
        <x:f>IF(B477="","",IF(J477&lt;=0,"ESGOTADO",IF(J477&lt;=Config!$H$2,"SALDO CRÍTICO",IF(J477&lt;=Config!$H$3,"SALDO BAIXO","OK"))))</x:f>
      </x:c>
      <x:c r="L477" s="34"/>
      <x:c r="M477" s="30"/>
    </x:row>
    <x:row r="478">
      <x:c r="A478" s="30" t="str">
        <x:f>IF(B478="","",MAX($A$5:A477)+1)</x:f>
      </x:c>
      <x:c r="B478" s="30"/>
      <x:c r="C478" s="32"/>
      <x:c r="D478" s="30"/>
      <x:c r="E478" s="30"/>
      <x:c r="F478" s="30"/>
      <x:c r="G478" s="30"/>
      <x:c r="H478" s="34"/>
      <x:c r="I478" s="34"/>
      <x:c r="J478" s="34" t="str">
        <x:f>IF(B478="","",SUMIFS($H$5:$H$500,$B$5:$B$500,B478,$A$5:$A$500,"&lt;="&amp;A478)-SUMIFS($I$5:$I$500,$B$5:$B$500,B478,$A$5:$A$500,"&lt;="&amp;A478))</x:f>
      </x:c>
      <x:c r="K478" s="30" t="str">
        <x:f>IF(B478="","",IF(J478&lt;=0,"ESGOTADO",IF(J478&lt;=Config!$H$2,"SALDO CRÍTICO",IF(J478&lt;=Config!$H$3,"SALDO BAIXO","OK"))))</x:f>
      </x:c>
      <x:c r="L478" s="34"/>
      <x:c r="M478" s="30"/>
    </x:row>
    <x:row r="479">
      <x:c r="A479" s="30" t="str">
        <x:f>IF(B479="","",MAX($A$5:A478)+1)</x:f>
      </x:c>
      <x:c r="B479" s="30"/>
      <x:c r="C479" s="32"/>
      <x:c r="D479" s="30"/>
      <x:c r="E479" s="30"/>
      <x:c r="F479" s="30"/>
      <x:c r="G479" s="30"/>
      <x:c r="H479" s="34"/>
      <x:c r="I479" s="34"/>
      <x:c r="J479" s="34" t="str">
        <x:f>IF(B479="","",SUMIFS($H$5:$H$500,$B$5:$B$500,B479,$A$5:$A$500,"&lt;="&amp;A479)-SUMIFS($I$5:$I$500,$B$5:$B$500,B479,$A$5:$A$500,"&lt;="&amp;A479))</x:f>
      </x:c>
      <x:c r="K479" s="30" t="str">
        <x:f>IF(B479="","",IF(J479&lt;=0,"ESGOTADO",IF(J479&lt;=Config!$H$2,"SALDO CRÍTICO",IF(J479&lt;=Config!$H$3,"SALDO BAIXO","OK"))))</x:f>
      </x:c>
      <x:c r="L479" s="34"/>
      <x:c r="M479" s="30"/>
    </x:row>
    <x:row r="480">
      <x:c r="A480" s="30" t="str">
        <x:f>IF(B480="","",MAX($A$5:A479)+1)</x:f>
      </x:c>
      <x:c r="B480" s="30"/>
      <x:c r="C480" s="32"/>
      <x:c r="D480" s="30"/>
      <x:c r="E480" s="30"/>
      <x:c r="F480" s="30"/>
      <x:c r="G480" s="30"/>
      <x:c r="H480" s="34"/>
      <x:c r="I480" s="34"/>
      <x:c r="J480" s="34" t="str">
        <x:f>IF(B480="","",SUMIFS($H$5:$H$500,$B$5:$B$500,B480,$A$5:$A$500,"&lt;="&amp;A480)-SUMIFS($I$5:$I$500,$B$5:$B$500,B480,$A$5:$A$500,"&lt;="&amp;A480))</x:f>
      </x:c>
      <x:c r="K480" s="30" t="str">
        <x:f>IF(B480="","",IF(J480&lt;=0,"ESGOTADO",IF(J480&lt;=Config!$H$2,"SALDO CRÍTICO",IF(J480&lt;=Config!$H$3,"SALDO BAIXO","OK"))))</x:f>
      </x:c>
      <x:c r="L480" s="34"/>
      <x:c r="M480" s="30"/>
    </x:row>
    <x:row r="481">
      <x:c r="A481" s="30" t="str">
        <x:f>IF(B481="","",MAX($A$5:A480)+1)</x:f>
      </x:c>
      <x:c r="B481" s="30"/>
      <x:c r="C481" s="32"/>
      <x:c r="D481" s="30"/>
      <x:c r="E481" s="30"/>
      <x:c r="F481" s="30"/>
      <x:c r="G481" s="30"/>
      <x:c r="H481" s="34"/>
      <x:c r="I481" s="34"/>
      <x:c r="J481" s="34" t="str">
        <x:f>IF(B481="","",SUMIFS($H$5:$H$500,$B$5:$B$500,B481,$A$5:$A$500,"&lt;="&amp;A481)-SUMIFS($I$5:$I$500,$B$5:$B$500,B481,$A$5:$A$500,"&lt;="&amp;A481))</x:f>
      </x:c>
      <x:c r="K481" s="30" t="str">
        <x:f>IF(B481="","",IF(J481&lt;=0,"ESGOTADO",IF(J481&lt;=Config!$H$2,"SALDO CRÍTICO",IF(J481&lt;=Config!$H$3,"SALDO BAIXO","OK"))))</x:f>
      </x:c>
      <x:c r="L481" s="34"/>
      <x:c r="M481" s="30"/>
    </x:row>
    <x:row r="482">
      <x:c r="A482" s="30" t="str">
        <x:f>IF(B482="","",MAX($A$5:A481)+1)</x:f>
      </x:c>
      <x:c r="B482" s="30"/>
      <x:c r="C482" s="32"/>
      <x:c r="D482" s="30"/>
      <x:c r="E482" s="30"/>
      <x:c r="F482" s="30"/>
      <x:c r="G482" s="30"/>
      <x:c r="H482" s="34"/>
      <x:c r="I482" s="34"/>
      <x:c r="J482" s="34" t="str">
        <x:f>IF(B482="","",SUMIFS($H$5:$H$500,$B$5:$B$500,B482,$A$5:$A$500,"&lt;="&amp;A482)-SUMIFS($I$5:$I$500,$B$5:$B$500,B482,$A$5:$A$500,"&lt;="&amp;A482))</x:f>
      </x:c>
      <x:c r="K482" s="30" t="str">
        <x:f>IF(B482="","",IF(J482&lt;=0,"ESGOTADO",IF(J482&lt;=Config!$H$2,"SALDO CRÍTICO",IF(J482&lt;=Config!$H$3,"SALDO BAIXO","OK"))))</x:f>
      </x:c>
      <x:c r="L482" s="34"/>
      <x:c r="M482" s="30"/>
    </x:row>
    <x:row r="483">
      <x:c r="A483" s="30" t="str">
        <x:f>IF(B483="","",MAX($A$5:A482)+1)</x:f>
      </x:c>
      <x:c r="B483" s="30"/>
      <x:c r="C483" s="32"/>
      <x:c r="D483" s="30"/>
      <x:c r="E483" s="30"/>
      <x:c r="F483" s="30"/>
      <x:c r="G483" s="30"/>
      <x:c r="H483" s="34"/>
      <x:c r="I483" s="34"/>
      <x:c r="J483" s="34" t="str">
        <x:f>IF(B483="","",SUMIFS($H$5:$H$500,$B$5:$B$500,B483,$A$5:$A$500,"&lt;="&amp;A483)-SUMIFS($I$5:$I$500,$B$5:$B$500,B483,$A$5:$A$500,"&lt;="&amp;A483))</x:f>
      </x:c>
      <x:c r="K483" s="30" t="str">
        <x:f>IF(B483="","",IF(J483&lt;=0,"ESGOTADO",IF(J483&lt;=Config!$H$2,"SALDO CRÍTICO",IF(J483&lt;=Config!$H$3,"SALDO BAIXO","OK"))))</x:f>
      </x:c>
      <x:c r="L483" s="34"/>
      <x:c r="M483" s="30"/>
    </x:row>
    <x:row r="484">
      <x:c r="A484" s="30" t="str">
        <x:f>IF(B484="","",MAX($A$5:A483)+1)</x:f>
      </x:c>
      <x:c r="B484" s="30"/>
      <x:c r="C484" s="32"/>
      <x:c r="D484" s="30"/>
      <x:c r="E484" s="30"/>
      <x:c r="F484" s="30"/>
      <x:c r="G484" s="30"/>
      <x:c r="H484" s="34"/>
      <x:c r="I484" s="34"/>
      <x:c r="J484" s="34" t="str">
        <x:f>IF(B484="","",SUMIFS($H$5:$H$500,$B$5:$B$500,B484,$A$5:$A$500,"&lt;="&amp;A484)-SUMIFS($I$5:$I$500,$B$5:$B$500,B484,$A$5:$A$500,"&lt;="&amp;A484))</x:f>
      </x:c>
      <x:c r="K484" s="30" t="str">
        <x:f>IF(B484="","",IF(J484&lt;=0,"ESGOTADO",IF(J484&lt;=Config!$H$2,"SALDO CRÍTICO",IF(J484&lt;=Config!$H$3,"SALDO BAIXO","OK"))))</x:f>
      </x:c>
      <x:c r="L484" s="34"/>
      <x:c r="M484" s="30"/>
    </x:row>
    <x:row r="485">
      <x:c r="A485" s="30" t="str">
        <x:f>IF(B485="","",MAX($A$5:A484)+1)</x:f>
      </x:c>
      <x:c r="B485" s="30"/>
      <x:c r="C485" s="32"/>
      <x:c r="D485" s="30"/>
      <x:c r="E485" s="30"/>
      <x:c r="F485" s="30"/>
      <x:c r="G485" s="30"/>
      <x:c r="H485" s="34"/>
      <x:c r="I485" s="34"/>
      <x:c r="J485" s="34" t="str">
        <x:f>IF(B485="","",SUMIFS($H$5:$H$500,$B$5:$B$500,B485,$A$5:$A$500,"&lt;="&amp;A485)-SUMIFS($I$5:$I$500,$B$5:$B$500,B485,$A$5:$A$500,"&lt;="&amp;A485))</x:f>
      </x:c>
      <x:c r="K485" s="30" t="str">
        <x:f>IF(B485="","",IF(J485&lt;=0,"ESGOTADO",IF(J485&lt;=Config!$H$2,"SALDO CRÍTICO",IF(J485&lt;=Config!$H$3,"SALDO BAIXO","OK"))))</x:f>
      </x:c>
      <x:c r="L485" s="34"/>
      <x:c r="M485" s="30"/>
    </x:row>
    <x:row r="486">
      <x:c r="A486" s="30" t="str">
        <x:f>IF(B486="","",MAX($A$5:A485)+1)</x:f>
      </x:c>
      <x:c r="B486" s="30"/>
      <x:c r="C486" s="32"/>
      <x:c r="D486" s="30"/>
      <x:c r="E486" s="30"/>
      <x:c r="F486" s="30"/>
      <x:c r="G486" s="30"/>
      <x:c r="H486" s="34"/>
      <x:c r="I486" s="34"/>
      <x:c r="J486" s="34" t="str">
        <x:f>IF(B486="","",SUMIFS($H$5:$H$500,$B$5:$B$500,B486,$A$5:$A$500,"&lt;="&amp;A486)-SUMIFS($I$5:$I$500,$B$5:$B$500,B486,$A$5:$A$500,"&lt;="&amp;A486))</x:f>
      </x:c>
      <x:c r="K486" s="30" t="str">
        <x:f>IF(B486="","",IF(J486&lt;=0,"ESGOTADO",IF(J486&lt;=Config!$H$2,"SALDO CRÍTICO",IF(J486&lt;=Config!$H$3,"SALDO BAIXO","OK"))))</x:f>
      </x:c>
      <x:c r="L486" s="34"/>
      <x:c r="M486" s="30"/>
    </x:row>
    <x:row r="487">
      <x:c r="A487" s="30" t="str">
        <x:f>IF(B487="","",MAX($A$5:A486)+1)</x:f>
      </x:c>
      <x:c r="B487" s="30"/>
      <x:c r="C487" s="32"/>
      <x:c r="D487" s="30"/>
      <x:c r="E487" s="30"/>
      <x:c r="F487" s="30"/>
      <x:c r="G487" s="30"/>
      <x:c r="H487" s="34"/>
      <x:c r="I487" s="34"/>
      <x:c r="J487" s="34" t="str">
        <x:f>IF(B487="","",SUMIFS($H$5:$H$500,$B$5:$B$500,B487,$A$5:$A$500,"&lt;="&amp;A487)-SUMIFS($I$5:$I$500,$B$5:$B$500,B487,$A$5:$A$500,"&lt;="&amp;A487))</x:f>
      </x:c>
      <x:c r="K487" s="30" t="str">
        <x:f>IF(B487="","",IF(J487&lt;=0,"ESGOTADO",IF(J487&lt;=Config!$H$2,"SALDO CRÍTICO",IF(J487&lt;=Config!$H$3,"SALDO BAIXO","OK"))))</x:f>
      </x:c>
      <x:c r="L487" s="34"/>
      <x:c r="M487" s="30"/>
    </x:row>
    <x:row r="488">
      <x:c r="A488" s="30" t="str">
        <x:f>IF(B488="","",MAX($A$5:A487)+1)</x:f>
      </x:c>
      <x:c r="B488" s="30"/>
      <x:c r="C488" s="32"/>
      <x:c r="D488" s="30"/>
      <x:c r="E488" s="30"/>
      <x:c r="F488" s="30"/>
      <x:c r="G488" s="30"/>
      <x:c r="H488" s="34"/>
      <x:c r="I488" s="34"/>
      <x:c r="J488" s="34" t="str">
        <x:f>IF(B488="","",SUMIFS($H$5:$H$500,$B$5:$B$500,B488,$A$5:$A$500,"&lt;="&amp;A488)-SUMIFS($I$5:$I$500,$B$5:$B$500,B488,$A$5:$A$500,"&lt;="&amp;A488))</x:f>
      </x:c>
      <x:c r="K488" s="30" t="str">
        <x:f>IF(B488="","",IF(J488&lt;=0,"ESGOTADO",IF(J488&lt;=Config!$H$2,"SALDO CRÍTICO",IF(J488&lt;=Config!$H$3,"SALDO BAIXO","OK"))))</x:f>
      </x:c>
      <x:c r="L488" s="34"/>
      <x:c r="M488" s="30"/>
    </x:row>
    <x:row r="489">
      <x:c r="A489" s="30" t="str">
        <x:f>IF(B489="","",MAX($A$5:A488)+1)</x:f>
      </x:c>
      <x:c r="B489" s="30"/>
      <x:c r="C489" s="32"/>
      <x:c r="D489" s="30"/>
      <x:c r="E489" s="30"/>
      <x:c r="F489" s="30"/>
      <x:c r="G489" s="30"/>
      <x:c r="H489" s="34"/>
      <x:c r="I489" s="34"/>
      <x:c r="J489" s="34" t="str">
        <x:f>IF(B489="","",SUMIFS($H$5:$H$500,$B$5:$B$500,B489,$A$5:$A$500,"&lt;="&amp;A489)-SUMIFS($I$5:$I$500,$B$5:$B$500,B489,$A$5:$A$500,"&lt;="&amp;A489))</x:f>
      </x:c>
      <x:c r="K489" s="30" t="str">
        <x:f>IF(B489="","",IF(J489&lt;=0,"ESGOTADO",IF(J489&lt;=Config!$H$2,"SALDO CRÍTICO",IF(J489&lt;=Config!$H$3,"SALDO BAIXO","OK"))))</x:f>
      </x:c>
      <x:c r="L489" s="34"/>
      <x:c r="M489" s="30"/>
    </x:row>
    <x:row r="490">
      <x:c r="A490" s="30" t="str">
        <x:f>IF(B490="","",MAX($A$5:A489)+1)</x:f>
      </x:c>
      <x:c r="B490" s="30"/>
      <x:c r="C490" s="32"/>
      <x:c r="D490" s="30"/>
      <x:c r="E490" s="30"/>
      <x:c r="F490" s="30"/>
      <x:c r="G490" s="30"/>
      <x:c r="H490" s="34"/>
      <x:c r="I490" s="34"/>
      <x:c r="J490" s="34" t="str">
        <x:f>IF(B490="","",SUMIFS($H$5:$H$500,$B$5:$B$500,B490,$A$5:$A$500,"&lt;="&amp;A490)-SUMIFS($I$5:$I$500,$B$5:$B$500,B490,$A$5:$A$500,"&lt;="&amp;A490))</x:f>
      </x:c>
      <x:c r="K490" s="30" t="str">
        <x:f>IF(B490="","",IF(J490&lt;=0,"ESGOTADO",IF(J490&lt;=Config!$H$2,"SALDO CRÍTICO",IF(J490&lt;=Config!$H$3,"SALDO BAIXO","OK"))))</x:f>
      </x:c>
      <x:c r="L490" s="34"/>
      <x:c r="M490" s="30"/>
    </x:row>
    <x:row r="491">
      <x:c r="A491" s="30" t="str">
        <x:f>IF(B491="","",MAX($A$5:A490)+1)</x:f>
      </x:c>
      <x:c r="B491" s="30"/>
      <x:c r="C491" s="32"/>
      <x:c r="D491" s="30"/>
      <x:c r="E491" s="30"/>
      <x:c r="F491" s="30"/>
      <x:c r="G491" s="30"/>
      <x:c r="H491" s="34"/>
      <x:c r="I491" s="34"/>
      <x:c r="J491" s="34" t="str">
        <x:f>IF(B491="","",SUMIFS($H$5:$H$500,$B$5:$B$500,B491,$A$5:$A$500,"&lt;="&amp;A491)-SUMIFS($I$5:$I$500,$B$5:$B$500,B491,$A$5:$A$500,"&lt;="&amp;A491))</x:f>
      </x:c>
      <x:c r="K491" s="30" t="str">
        <x:f>IF(B491="","",IF(J491&lt;=0,"ESGOTADO",IF(J491&lt;=Config!$H$2,"SALDO CRÍTICO",IF(J491&lt;=Config!$H$3,"SALDO BAIXO","OK"))))</x:f>
      </x:c>
      <x:c r="L491" s="34"/>
      <x:c r="M491" s="30"/>
    </x:row>
    <x:row r="492">
      <x:c r="A492" s="30" t="str">
        <x:f>IF(B492="","",MAX($A$5:A491)+1)</x:f>
      </x:c>
      <x:c r="B492" s="30"/>
      <x:c r="C492" s="32"/>
      <x:c r="D492" s="30"/>
      <x:c r="E492" s="30"/>
      <x:c r="F492" s="30"/>
      <x:c r="G492" s="30"/>
      <x:c r="H492" s="34"/>
      <x:c r="I492" s="34"/>
      <x:c r="J492" s="34" t="str">
        <x:f>IF(B492="","",SUMIFS($H$5:$H$500,$B$5:$B$500,B492,$A$5:$A$500,"&lt;="&amp;A492)-SUMIFS($I$5:$I$500,$B$5:$B$500,B492,$A$5:$A$500,"&lt;="&amp;A492))</x:f>
      </x:c>
      <x:c r="K492" s="30" t="str">
        <x:f>IF(B492="","",IF(J492&lt;=0,"ESGOTADO",IF(J492&lt;=Config!$H$2,"SALDO CRÍTICO",IF(J492&lt;=Config!$H$3,"SALDO BAIXO","OK"))))</x:f>
      </x:c>
      <x:c r="L492" s="34"/>
      <x:c r="M492" s="30"/>
    </x:row>
    <x:row r="493">
      <x:c r="A493" s="30" t="str">
        <x:f>IF(B493="","",MAX($A$5:A492)+1)</x:f>
      </x:c>
      <x:c r="B493" s="30"/>
      <x:c r="C493" s="32"/>
      <x:c r="D493" s="30"/>
      <x:c r="E493" s="30"/>
      <x:c r="F493" s="30"/>
      <x:c r="G493" s="30"/>
      <x:c r="H493" s="34"/>
      <x:c r="I493" s="34"/>
      <x:c r="J493" s="34" t="str">
        <x:f>IF(B493="","",SUMIFS($H$5:$H$500,$B$5:$B$500,B493,$A$5:$A$500,"&lt;="&amp;A493)-SUMIFS($I$5:$I$500,$B$5:$B$500,B493,$A$5:$A$500,"&lt;="&amp;A493))</x:f>
      </x:c>
      <x:c r="K493" s="30" t="str">
        <x:f>IF(B493="","",IF(J493&lt;=0,"ESGOTADO",IF(J493&lt;=Config!$H$2,"SALDO CRÍTICO",IF(J493&lt;=Config!$H$3,"SALDO BAIXO","OK"))))</x:f>
      </x:c>
      <x:c r="L493" s="34"/>
      <x:c r="M493" s="30"/>
    </x:row>
    <x:row r="494">
      <x:c r="A494" s="30" t="str">
        <x:f>IF(B494="","",MAX($A$5:A493)+1)</x:f>
      </x:c>
      <x:c r="B494" s="30"/>
      <x:c r="C494" s="32"/>
      <x:c r="D494" s="30"/>
      <x:c r="E494" s="30"/>
      <x:c r="F494" s="30"/>
      <x:c r="G494" s="30"/>
      <x:c r="H494" s="34"/>
      <x:c r="I494" s="34"/>
      <x:c r="J494" s="34" t="str">
        <x:f>IF(B494="","",SUMIFS($H$5:$H$500,$B$5:$B$500,B494,$A$5:$A$500,"&lt;="&amp;A494)-SUMIFS($I$5:$I$500,$B$5:$B$500,B494,$A$5:$A$500,"&lt;="&amp;A494))</x:f>
      </x:c>
      <x:c r="K494" s="30" t="str">
        <x:f>IF(B494="","",IF(J494&lt;=0,"ESGOTADO",IF(J494&lt;=Config!$H$2,"SALDO CRÍTICO",IF(J494&lt;=Config!$H$3,"SALDO BAIXO","OK"))))</x:f>
      </x:c>
      <x:c r="L494" s="34"/>
      <x:c r="M494" s="30"/>
    </x:row>
    <x:row r="495">
      <x:c r="A495" s="30" t="str">
        <x:f>IF(B495="","",MAX($A$5:A494)+1)</x:f>
      </x:c>
      <x:c r="B495" s="30"/>
      <x:c r="C495" s="32"/>
      <x:c r="D495" s="30"/>
      <x:c r="E495" s="30"/>
      <x:c r="F495" s="30"/>
      <x:c r="G495" s="30"/>
      <x:c r="H495" s="34"/>
      <x:c r="I495" s="34"/>
      <x:c r="J495" s="34" t="str">
        <x:f>IF(B495="","",SUMIFS($H$5:$H$500,$B$5:$B$500,B495,$A$5:$A$500,"&lt;="&amp;A495)-SUMIFS($I$5:$I$500,$B$5:$B$500,B495,$A$5:$A$500,"&lt;="&amp;A495))</x:f>
      </x:c>
      <x:c r="K495" s="30" t="str">
        <x:f>IF(B495="","",IF(J495&lt;=0,"ESGOTADO",IF(J495&lt;=Config!$H$2,"SALDO CRÍTICO",IF(J495&lt;=Config!$H$3,"SALDO BAIXO","OK"))))</x:f>
      </x:c>
      <x:c r="L495" s="34"/>
      <x:c r="M495" s="30"/>
    </x:row>
    <x:row r="496">
      <x:c r="A496" s="30" t="str">
        <x:f>IF(B496="","",MAX($A$5:A495)+1)</x:f>
      </x:c>
      <x:c r="B496" s="30"/>
      <x:c r="C496" s="32"/>
      <x:c r="D496" s="30"/>
      <x:c r="E496" s="30"/>
      <x:c r="F496" s="30"/>
      <x:c r="G496" s="30"/>
      <x:c r="H496" s="34"/>
      <x:c r="I496" s="34"/>
      <x:c r="J496" s="34" t="str">
        <x:f>IF(B496="","",SUMIFS($H$5:$H$500,$B$5:$B$500,B496,$A$5:$A$500,"&lt;="&amp;A496)-SUMIFS($I$5:$I$500,$B$5:$B$500,B496,$A$5:$A$500,"&lt;="&amp;A496))</x:f>
      </x:c>
      <x:c r="K496" s="30" t="str">
        <x:f>IF(B496="","",IF(J496&lt;=0,"ESGOTADO",IF(J496&lt;=Config!$H$2,"SALDO CRÍTICO",IF(J496&lt;=Config!$H$3,"SALDO BAIXO","OK"))))</x:f>
      </x:c>
      <x:c r="L496" s="34"/>
      <x:c r="M496" s="30"/>
    </x:row>
    <x:row r="497">
      <x:c r="A497" s="30" t="str">
        <x:f>IF(B497="","",MAX($A$5:A496)+1)</x:f>
      </x:c>
      <x:c r="B497" s="30"/>
      <x:c r="C497" s="32"/>
      <x:c r="D497" s="30"/>
      <x:c r="E497" s="30"/>
      <x:c r="F497" s="30"/>
      <x:c r="G497" s="30"/>
      <x:c r="H497" s="34"/>
      <x:c r="I497" s="34"/>
      <x:c r="J497" s="34" t="str">
        <x:f>IF(B497="","",SUMIFS($H$5:$H$500,$B$5:$B$500,B497,$A$5:$A$500,"&lt;="&amp;A497)-SUMIFS($I$5:$I$500,$B$5:$B$500,B497,$A$5:$A$500,"&lt;="&amp;A497))</x:f>
      </x:c>
      <x:c r="K497" s="30" t="str">
        <x:f>IF(B497="","",IF(J497&lt;=0,"ESGOTADO",IF(J497&lt;=Config!$H$2,"SALDO CRÍTICO",IF(J497&lt;=Config!$H$3,"SALDO BAIXO","OK"))))</x:f>
      </x:c>
      <x:c r="L497" s="34"/>
      <x:c r="M497" s="30"/>
    </x:row>
    <x:row r="498">
      <x:c r="A498" s="30" t="str">
        <x:f>IF(B498="","",MAX($A$5:A497)+1)</x:f>
      </x:c>
      <x:c r="B498" s="30"/>
      <x:c r="C498" s="32"/>
      <x:c r="D498" s="30"/>
      <x:c r="E498" s="30"/>
      <x:c r="F498" s="30"/>
      <x:c r="G498" s="30"/>
      <x:c r="H498" s="34"/>
      <x:c r="I498" s="34"/>
      <x:c r="J498" s="34" t="str">
        <x:f>IF(B498="","",SUMIFS($H$5:$H$500,$B$5:$B$500,B498,$A$5:$A$500,"&lt;="&amp;A498)-SUMIFS($I$5:$I$500,$B$5:$B$500,B498,$A$5:$A$500,"&lt;="&amp;A498))</x:f>
      </x:c>
      <x:c r="K498" s="30" t="str">
        <x:f>IF(B498="","",IF(J498&lt;=0,"ESGOTADO",IF(J498&lt;=Config!$H$2,"SALDO CRÍTICO",IF(J498&lt;=Config!$H$3,"SALDO BAIXO","OK"))))</x:f>
      </x:c>
      <x:c r="L498" s="34"/>
      <x:c r="M498" s="30"/>
    </x:row>
    <x:row r="499">
      <x:c r="A499" s="30" t="str">
        <x:f>IF(B499="","",MAX($A$5:A498)+1)</x:f>
      </x:c>
      <x:c r="B499" s="30"/>
      <x:c r="C499" s="32"/>
      <x:c r="D499" s="30"/>
      <x:c r="E499" s="30"/>
      <x:c r="F499" s="30"/>
      <x:c r="G499" s="30"/>
      <x:c r="H499" s="34"/>
      <x:c r="I499" s="34"/>
      <x:c r="J499" s="34" t="str">
        <x:f>IF(B499="","",SUMIFS($H$5:$H$500,$B$5:$B$500,B499,$A$5:$A$500,"&lt;="&amp;A499)-SUMIFS($I$5:$I$500,$B$5:$B$500,B499,$A$5:$A$500,"&lt;="&amp;A499))</x:f>
      </x:c>
      <x:c r="K499" s="30" t="str">
        <x:f>IF(B499="","",IF(J499&lt;=0,"ESGOTADO",IF(J499&lt;=Config!$H$2,"SALDO CRÍTICO",IF(J499&lt;=Config!$H$3,"SALDO BAIXO","OK"))))</x:f>
      </x:c>
      <x:c r="L499" s="34"/>
      <x:c r="M499" s="30"/>
    </x:row>
    <x:row r="500">
      <x:c r="A500" s="30" t="str">
        <x:f>IF(B500="","",MAX($A$5:A499)+1)</x:f>
      </x:c>
      <x:c r="B500" s="30"/>
      <x:c r="C500" s="32"/>
      <x:c r="D500" s="30"/>
      <x:c r="E500" s="30"/>
      <x:c r="F500" s="30"/>
      <x:c r="G500" s="30"/>
      <x:c r="H500" s="34"/>
      <x:c r="I500" s="34"/>
      <x:c r="J500" s="34" t="str">
        <x:f>IF(B500="","",SUMIFS($H$5:$H$500,$B$5:$B$500,B500,$A$5:$A$500,"&lt;="&amp;A500)-SUMIFS($I$5:$I$500,$B$5:$B$500,B500,$A$5:$A$500,"&lt;="&amp;A500))</x:f>
      </x:c>
      <x:c r="K500" s="30" t="str">
        <x:f>IF(B500="","",IF(J500&lt;=0,"ESGOTADO",IF(J500&lt;=Config!$H$2,"SALDO CRÍTICO",IF(J500&lt;=Config!$H$3,"SALDO BAIXO","OK"))))</x:f>
      </x:c>
      <x:c r="L500" s="34"/>
      <x:c r="M500" s="30"/>
    </x:row>
  </x:sheetData>
  <x:mergeCells>
    <x:mergeCell ref="A1:M1"/>
    <x:mergeCell ref="A2:M2"/>
  </x:mergeCells>
  <x:conditionalFormatting sqref="K5:K500">
    <x:cfRule type="expression" dxfId="0" priority="1">
      <x:formula>K5="ESGOTADO"</x:formula>
    </x:cfRule>
    <x:cfRule type="expression" dxfId="1" priority="2">
      <x:formula>OR(K5="SALDO CRÍTICO",K5="SALDO BAIXO")</x:formula>
    </x:cfRule>
    <x:cfRule type="expression" dxfId="2" priority="3">
      <x:formula>K5="OK"</x:formula>
    </x:cfRule>
  </x:conditionalFormatting>
  <x:dataValidations count="3">
    <x:dataValidation type="list" sqref="B5:B500">
      <x:formula1>Config!$A$2:$A$200</x:formula1>
    </x:dataValidation>
    <x:dataValidation type="list" sqref="D5:D500">
      <x:formula1>Config!$C$2:$C$4</x:formula1>
    </x:dataValidation>
    <x:dataValidation type="list" sqref="F5:F500">
      <x:formula1>Config!$E$2:$E$100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69a1cd66174bc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3" max="3" width="20" hidden="0" customWidth="1"/>
    <x:col min="5" max="5" width="22" hidden="0" customWidth="1"/>
    <x:col min="7" max="7" width="24" hidden="0" customWidth="1"/>
    <x:col min="8" max="8" width="14" hidden="0" customWidth="1"/>
  </x:cols>
  <x:sheetData>
    <x:row r="1">
      <x:c r="A1" s="6" t="str">
        <x:v>Clientes</x:v>
      </x:c>
      <x:c r="B1" s="6" t="str"/>
      <x:c r="C1" s="6" t="str">
        <x:v>Tipos de movimento</x:v>
      </x:c>
      <x:c r="D1" s="6" t="str"/>
      <x:c r="E1" s="6" t="str">
        <x:v>Técnicos</x:v>
      </x:c>
      <x:c r="F1" s="6" t="str"/>
      <x:c r="G1" s="6" t="str">
        <x:v>Parâmetros</x:v>
      </x:c>
      <x:c r="H1" s="6" t="str">
        <x:v>Valor</x:v>
      </x:c>
    </x:row>
    <x:row r="2">
      <x:c r="A2" t="str">
        <x:v>ATELIER SANTA CATARINA</x:v>
      </x:c>
      <x:c r="C2" t="str">
        <x:v>Compra</x:v>
      </x:c>
      <x:c r="E2" t="str">
        <x:v>ClickStop</x:v>
      </x:c>
      <x:c r="G2" t="str">
        <x:v>Limite saldo crítico</x:v>
      </x:c>
      <x:c r="H2" s="12" t="n">
        <x:v>1</x:v>
      </x:c>
    </x:row>
    <x:row r="3">
      <x:c r="A3" t="str">
        <x:v>ATLANTIPERCENTAGEM</x:v>
      </x:c>
      <x:c r="C3" t="str">
        <x:v>Intervenção</x:v>
      </x:c>
      <x:c r="E3" t="str">
        <x:v>IL</x:v>
      </x:c>
      <x:c r="G3" t="str">
        <x:v>Limite saldo baixo</x:v>
      </x:c>
      <x:c r="H3" s="12" t="n">
        <x:v>2</x:v>
      </x:c>
    </x:row>
    <x:row r="4">
      <x:c r="A4" t="str">
        <x:v>AZOULAY</x:v>
      </x:c>
      <x:c r="C4" t="str">
        <x:v>Ajuste</x:v>
      </x:c>
      <x:c r="E4" t="str">
        <x:v>Ivan Lopes</x:v>
      </x:c>
      <x:c r="G4" t="str">
        <x:v>Data atualização</x:v>
      </x:c>
      <x:c r="H4" s="14" t="n">
        <x:v>46162</x:v>
      </x:c>
    </x:row>
    <x:row r="5">
      <x:c r="A5" t="str">
        <x:v>CAIXINORMA</x:v>
      </x:c>
      <x:c r="E5" t="str">
        <x:v>LL</x:v>
      </x:c>
    </x:row>
    <x:row r="6">
      <x:c r="A6" t="str">
        <x:v>CASCAIS ATRIUM</x:v>
      </x:c>
      <x:c r="E6" t="str">
        <x:v>Luis Lopes</x:v>
      </x:c>
    </x:row>
    <x:row r="7">
      <x:c r="A7" t="str">
        <x:v>CLAMROC</x:v>
      </x:c>
      <x:c r="E7" t="str">
        <x:v>ClickStop</x:v>
      </x:c>
    </x:row>
    <x:row r="8">
      <x:c r="A8" t="str">
        <x:v>Clinica Prestigio</x:v>
      </x:c>
      <x:c r="E8" t="str">
        <x:v>Ivan Lopes</x:v>
      </x:c>
    </x:row>
    <x:row r="9">
      <x:c r="A9" t="str">
        <x:v>CLÍNICA REBALANCE (NAIDE)</x:v>
      </x:c>
      <x:c r="E9" t="str"/>
    </x:row>
    <x:row r="10">
      <x:c r="A10" t="str">
        <x:v>CONTORNOS SUBLIMES (FMPILOTO)</x:v>
      </x:c>
      <x:c r="E10" t="str"/>
    </x:row>
    <x:row r="11">
      <x:c r="A11" t="str">
        <x:v>CROA Clinica Dentaria</x:v>
      </x:c>
      <x:c r="E11" t="str"/>
    </x:row>
    <x:row r="12">
      <x:c r="A12" t="str">
        <x:v>DNI - Medicina e Saúde</x:v>
      </x:c>
      <x:c r="E12" t="str"/>
    </x:row>
    <x:row r="13">
      <x:c r="A13" t="str">
        <x:v>EAGLE MAGNATA</x:v>
      </x:c>
      <x:c r="E13" t="str"/>
    </x:row>
    <x:row r="14">
      <x:c r="A14" t="str">
        <x:v>ESTORIL8023</x:v>
      </x:c>
      <x:c r="E14" t="str"/>
    </x:row>
    <x:row r="15">
      <x:c r="A15" t="str">
        <x:v>FILIPA ROQUETTE - Sociedade Unipessoal Lda</x:v>
      </x:c>
      <x:c r="E15" t="str"/>
    </x:row>
    <x:row r="16">
      <x:c r="A16" t="str">
        <x:v>GRUPO JOSÉ AVILLEZ</x:v>
      </x:c>
      <x:c r="E16" t="str"/>
    </x:row>
    <x:row r="17">
      <x:c r="A17" t="str">
        <x:v>INÊS MOURA</x:v>
      </x:c>
      <x:c r="E17" t="str"/>
    </x:row>
    <x:row r="18">
      <x:c r="A18" t="str">
        <x:v>J. TIÇÂO</x:v>
      </x:c>
      <x:c r="E18" t="str"/>
    </x:row>
    <x:row r="19">
      <x:c r="A19" t="str">
        <x:v>J2L</x:v>
      </x:c>
      <x:c r="E19" t="str"/>
    </x:row>
    <x:row r="20">
      <x:c r="A20" t="str">
        <x:v>JOÃO CUNHA ROSA</x:v>
      </x:c>
      <x:c r="E20" t="str"/>
    </x:row>
    <x:row r="21">
      <x:c r="A21" t="str">
        <x:v>KEY LEAVES</x:v>
      </x:c>
      <x:c r="E21" t="str"/>
    </x:row>
    <x:row r="22">
      <x:c r="A22" t="str">
        <x:v>KORANGI</x:v>
      </x:c>
      <x:c r="E22" t="str"/>
    </x:row>
    <x:row r="23">
      <x:c r="A23" t="str">
        <x:v>LAMEGO&amp;ASSOC.</x:v>
      </x:c>
      <x:c r="E23" t="str"/>
    </x:row>
    <x:row r="24">
      <x:c r="A24" t="str">
        <x:v>LARANJEIRA DENTAL CLINIC</x:v>
      </x:c>
      <x:c r="E24" t="str"/>
    </x:row>
    <x:row r="25">
      <x:c r="A25" t="str">
        <x:v>Luiz Godinho Lopes</x:v>
      </x:c>
      <x:c r="E25" t="str"/>
    </x:row>
    <x:row r="26">
      <x:c r="A26" t="str">
        <x:v>MARTIM CABRAL</x:v>
      </x:c>
      <x:c r="E26" t="str"/>
    </x:row>
    <x:row r="27">
      <x:c r="A27" t="str">
        <x:v>MASTER CAPITAL - Unipessoal Lda</x:v>
      </x:c>
      <x:c r="E27" t="str"/>
    </x:row>
    <x:row r="28">
      <x:c r="A28" t="str">
        <x:v>MB GEST</x:v>
      </x:c>
      <x:c r="E28" t="str"/>
    </x:row>
    <x:row r="29">
      <x:c r="A29" t="str">
        <x:v>NIBITS</x:v>
      </x:c>
      <x:c r="E29" t="str"/>
    </x:row>
    <x:row r="30">
      <x:c r="A30" t="str">
        <x:v>NOVAMENTE</x:v>
      </x:c>
      <x:c r="E30" t="str"/>
    </x:row>
    <x:row r="31">
      <x:c r="A31" t="str">
        <x:v>ODD</x:v>
      </x:c>
      <x:c r="E31" t="str"/>
    </x:row>
    <x:row r="32">
      <x:c r="A32" t="str">
        <x:v>Paint&amp;Go</x:v>
      </x:c>
      <x:c r="E32" t="str"/>
    </x:row>
    <x:row r="33">
      <x:c r="A33" t="str">
        <x:v>PARÁGRAFO EXCLUSIVO</x:v>
      </x:c>
      <x:c r="E33" t="str"/>
    </x:row>
    <x:row r="34">
      <x:c r="A34" t="str">
        <x:v>PEAKWISE</x:v>
      </x:c>
      <x:c r="E34" t="str"/>
    </x:row>
    <x:row r="35">
      <x:c r="A35" t="str">
        <x:v>PERCENTIL</x:v>
      </x:c>
      <x:c r="E35" t="str"/>
    </x:row>
    <x:row r="36">
      <x:c r="A36" t="str">
        <x:v>PRIME PORTUGAL</x:v>
      </x:c>
      <x:c r="E36" t="str"/>
    </x:row>
    <x:row r="37">
      <x:c r="A37" t="str">
        <x:v>PUREZA</x:v>
      </x:c>
      <x:c r="E37" t="str"/>
    </x:row>
    <x:row r="38">
      <x:c r="A38" t="str">
        <x:v>REORGANIZA COM SENTIDO</x:v>
      </x:c>
      <x:c r="E38" t="str"/>
    </x:row>
    <x:row r="39">
      <x:c r="A39" t="str">
        <x:v>SHAPING FUTURES (Patricia Silve</x:v>
      </x:c>
      <x:c r="E39" t="str"/>
    </x:row>
    <x:row r="40">
      <x:c r="A40" t="str">
        <x:v>SOC. AGRICOLA VALE CAMARINHAS</x:v>
      </x:c>
      <x:c r="E40" t="str"/>
    </x:row>
    <x:row r="41">
      <x:c r="A41" t="str">
        <x:v>SOSTATE</x:v>
      </x:c>
      <x:c r="E41" t="str"/>
    </x:row>
    <x:row r="42">
      <x:c r="A42" t="str"/>
      <x:c r="E42" t="str"/>
    </x:row>
    <x:row r="43">
      <x:c r="A43" t="str"/>
      <x:c r="E43" t="str"/>
    </x:row>
    <x:row r="44">
      <x:c r="A44" t="str"/>
      <x:c r="E44" t="str"/>
    </x:row>
    <x:row r="45">
      <x:c r="A45" t="str"/>
      <x:c r="E45" t="str"/>
    </x:row>
    <x:row r="46">
      <x:c r="A46" t="str"/>
      <x:c r="E46" t="str"/>
    </x:row>
    <x:row r="47">
      <x:c r="A47" t="str"/>
      <x:c r="E47" t="str"/>
    </x:row>
    <x:row r="48">
      <x:c r="A48" t="str"/>
      <x:c r="E48" t="str"/>
    </x:row>
    <x:row r="49">
      <x:c r="A49" t="str"/>
      <x:c r="E49" t="str"/>
    </x:row>
    <x:row r="50">
      <x:c r="A50" t="str"/>
      <x:c r="E50" t="str"/>
    </x:row>
    <x:row r="51">
      <x:c r="A51" t="str"/>
      <x:c r="E51" t="str"/>
    </x:row>
    <x:row r="52">
      <x:c r="A52" t="str"/>
      <x:c r="E52" t="str"/>
    </x:row>
    <x:row r="53">
      <x:c r="A53" t="str"/>
      <x:c r="E53" t="str"/>
    </x:row>
    <x:row r="54">
      <x:c r="A54" t="str"/>
      <x:c r="E54" t="str"/>
    </x:row>
    <x:row r="55">
      <x:c r="A55" t="str"/>
      <x:c r="E55" t="str"/>
    </x:row>
    <x:row r="56">
      <x:c r="A56" t="str"/>
      <x:c r="E56" t="str"/>
    </x:row>
    <x:row r="57">
      <x:c r="A57" t="str"/>
      <x:c r="E57" t="str"/>
    </x:row>
    <x:row r="58">
      <x:c r="A58" t="str"/>
      <x:c r="E58" t="str"/>
    </x:row>
    <x:row r="59">
      <x:c r="A59" t="str"/>
      <x:c r="E59" t="str"/>
    </x:row>
    <x:row r="60">
      <x:c r="A60" t="str"/>
      <x:c r="E60" t="str"/>
    </x:row>
    <x:row r="61">
      <x:c r="A61" t="str"/>
      <x:c r="E61" t="str"/>
    </x:row>
    <x:row r="62">
      <x:c r="A62" t="str"/>
      <x:c r="E62" t="str"/>
    </x:row>
    <x:row r="63">
      <x:c r="A63" t="str"/>
      <x:c r="E63" t="str"/>
    </x:row>
    <x:row r="64">
      <x:c r="A64" t="str"/>
      <x:c r="E64" t="str"/>
    </x:row>
    <x:row r="65">
      <x:c r="A65" t="str"/>
      <x:c r="E65" t="str"/>
    </x:row>
    <x:row r="66">
      <x:c r="A66" t="str"/>
      <x:c r="E66" t="str"/>
    </x:row>
    <x:row r="67">
      <x:c r="A67" t="str"/>
      <x:c r="E67" t="str"/>
    </x:row>
    <x:row r="68">
      <x:c r="A68" t="str"/>
      <x:c r="E68" t="str"/>
    </x:row>
    <x:row r="69">
      <x:c r="A69" t="str"/>
      <x:c r="E69" t="str"/>
    </x:row>
    <x:row r="70">
      <x:c r="A70" t="str"/>
      <x:c r="E70" t="str"/>
    </x:row>
    <x:row r="71">
      <x:c r="A71" t="str"/>
      <x:c r="E71" t="str"/>
    </x:row>
    <x:row r="72">
      <x:c r="A72" t="str"/>
      <x:c r="E72" t="str"/>
    </x:row>
    <x:row r="73">
      <x:c r="A73" t="str"/>
      <x:c r="E73" t="str"/>
    </x:row>
    <x:row r="74">
      <x:c r="A74" t="str"/>
      <x:c r="E74" t="str"/>
    </x:row>
    <x:row r="75">
      <x:c r="A75" t="str"/>
      <x:c r="E75" t="str"/>
    </x:row>
    <x:row r="76">
      <x:c r="A76" t="str"/>
      <x:c r="E76" t="str"/>
    </x:row>
    <x:row r="77">
      <x:c r="A77" t="str"/>
      <x:c r="E77" t="str"/>
    </x:row>
    <x:row r="78">
      <x:c r="A78" t="str"/>
      <x:c r="E78" t="str"/>
    </x:row>
    <x:row r="79">
      <x:c r="A79" t="str"/>
      <x:c r="E79" t="str"/>
    </x:row>
    <x:row r="80">
      <x:c r="A80" t="str"/>
      <x:c r="E80" t="str"/>
    </x:row>
    <x:row r="81">
      <x:c r="A81" t="str"/>
      <x:c r="E81" t="str"/>
    </x:row>
    <x:row r="82">
      <x:c r="A82" t="str"/>
      <x:c r="E82" t="str"/>
    </x:row>
    <x:row r="83">
      <x:c r="A83" t="str"/>
      <x:c r="E83" t="str"/>
    </x:row>
    <x:row r="84">
      <x:c r="A84" t="str"/>
      <x:c r="E84" t="str"/>
    </x:row>
    <x:row r="85">
      <x:c r="A85" t="str"/>
      <x:c r="E85" t="str"/>
    </x:row>
    <x:row r="86">
      <x:c r="A86" t="str"/>
      <x:c r="E86" t="str"/>
    </x:row>
    <x:row r="87">
      <x:c r="A87" t="str"/>
      <x:c r="E87" t="str"/>
    </x:row>
    <x:row r="88">
      <x:c r="A88" t="str"/>
      <x:c r="E88" t="str"/>
    </x:row>
    <x:row r="89">
      <x:c r="A89" t="str"/>
      <x:c r="E89" t="str"/>
    </x:row>
    <x:row r="90">
      <x:c r="A90" t="str"/>
      <x:c r="E90" t="str"/>
    </x:row>
    <x:row r="91">
      <x:c r="A91" t="str"/>
      <x:c r="E91" t="str"/>
    </x:row>
    <x:row r="92">
      <x:c r="A92" t="str"/>
      <x:c r="E92" t="str"/>
    </x:row>
    <x:row r="93">
      <x:c r="A93" t="str"/>
      <x:c r="E93" t="str"/>
    </x:row>
    <x:row r="94">
      <x:c r="A94" t="str"/>
      <x:c r="E94" t="str"/>
    </x:row>
    <x:row r="95">
      <x:c r="A95" t="str"/>
      <x:c r="E95" t="str"/>
    </x:row>
    <x:row r="96">
      <x:c r="A96" t="str"/>
      <x:c r="E96" t="str"/>
    </x:row>
    <x:row r="97">
      <x:c r="A97" t="str"/>
      <x:c r="E97" t="str"/>
    </x:row>
    <x:row r="98">
      <x:c r="A98" t="str"/>
      <x:c r="E98" t="str"/>
    </x:row>
    <x:row r="99">
      <x:c r="A99" t="str"/>
      <x:c r="E99" t="str"/>
    </x:row>
    <x:row r="100">
      <x:c r="A100" t="str"/>
      <x:c r="E100" t="str"/>
    </x:row>
    <x:row r="101">
      <x:c r="A101" t="str"/>
      <x:c r="E101" t="str"/>
    </x:row>
    <x:row r="102">
      <x:c r="A102" t="str"/>
    </x:row>
    <x:row r="103">
      <x:c r="A103" t="str"/>
    </x:row>
    <x:row r="104">
      <x:c r="A104" t="str"/>
    </x:row>
    <x:row r="105">
      <x:c r="A105" t="str"/>
    </x:row>
    <x:row r="106">
      <x:c r="A106" t="str"/>
    </x:row>
    <x:row r="107">
      <x:c r="A107" t="str"/>
    </x:row>
    <x:row r="108">
      <x:c r="A108" t="str"/>
    </x:row>
    <x:row r="109">
      <x:c r="A109" t="str"/>
    </x:row>
    <x:row r="110">
      <x:c r="A110" t="str"/>
    </x:row>
    <x:row r="111">
      <x:c r="A111" t="str"/>
    </x:row>
    <x:row r="112">
      <x:c r="A112" t="str"/>
    </x:row>
    <x:row r="113">
      <x:c r="A113" t="str"/>
    </x:row>
    <x:row r="114">
      <x:c r="A114" t="str"/>
    </x:row>
    <x:row r="115">
      <x:c r="A115" t="str"/>
    </x:row>
    <x:row r="116">
      <x:c r="A116" t="str"/>
    </x:row>
    <x:row r="117">
      <x:c r="A117" t="str"/>
    </x:row>
    <x:row r="118">
      <x:c r="A118" t="str"/>
    </x:row>
    <x:row r="119">
      <x:c r="A119" t="str"/>
    </x:row>
    <x:row r="120">
      <x:c r="A120" t="str"/>
    </x:row>
    <x:row r="121">
      <x:c r="A121" t="str"/>
    </x:row>
    <x:row r="122">
      <x:c r="A122" t="str"/>
    </x:row>
    <x:row r="123">
      <x:c r="A123" t="str"/>
    </x:row>
    <x:row r="124">
      <x:c r="A124" t="str"/>
    </x:row>
    <x:row r="125">
      <x:c r="A125" t="str"/>
    </x:row>
    <x:row r="126">
      <x:c r="A126" t="str"/>
    </x:row>
    <x:row r="127">
      <x:c r="A127" t="str"/>
    </x:row>
    <x:row r="128">
      <x:c r="A128" t="str"/>
    </x:row>
    <x:row r="129">
      <x:c r="A129" t="str"/>
    </x:row>
    <x:row r="130">
      <x:c r="A130" t="str"/>
    </x:row>
    <x:row r="131">
      <x:c r="A131" t="str"/>
    </x:row>
    <x:row r="132">
      <x:c r="A132" t="str"/>
    </x:row>
    <x:row r="133">
      <x:c r="A133" t="str"/>
    </x:row>
    <x:row r="134">
      <x:c r="A134" t="str"/>
    </x:row>
    <x:row r="135">
      <x:c r="A135" t="str"/>
    </x:row>
    <x:row r="136">
      <x:c r="A136" t="str"/>
    </x:row>
    <x:row r="137">
      <x:c r="A137" t="str"/>
    </x:row>
    <x:row r="138">
      <x:c r="A138" t="str"/>
    </x:row>
    <x:row r="139">
      <x:c r="A139" t="str"/>
    </x:row>
    <x:row r="140">
      <x:c r="A140" t="str"/>
    </x:row>
    <x:row r="141">
      <x:c r="A141" t="str"/>
    </x:row>
    <x:row r="142">
      <x:c r="A142" t="str"/>
    </x:row>
    <x:row r="143">
      <x:c r="A143" t="str"/>
    </x:row>
    <x:row r="144">
      <x:c r="A144" t="str"/>
    </x:row>
    <x:row r="145">
      <x:c r="A145" t="str"/>
    </x:row>
    <x:row r="146">
      <x:c r="A146" t="str"/>
    </x:row>
    <x:row r="147">
      <x:c r="A147" t="str"/>
    </x:row>
    <x:row r="148">
      <x:c r="A148" t="str"/>
    </x:row>
    <x:row r="149">
      <x:c r="A149" t="str"/>
    </x:row>
    <x:row r="150">
      <x:c r="A150" t="str"/>
    </x:row>
    <x:row r="151">
      <x:c r="A151" t="str"/>
    </x:row>
    <x:row r="152">
      <x:c r="A152" t="str"/>
    </x:row>
    <x:row r="153">
      <x:c r="A153" t="str"/>
    </x:row>
    <x:row r="154">
      <x:c r="A154" t="str"/>
    </x:row>
    <x:row r="155">
      <x:c r="A155" t="str"/>
    </x:row>
    <x:row r="156">
      <x:c r="A156" t="str"/>
    </x:row>
    <x:row r="157">
      <x:c r="A157" t="str"/>
    </x:row>
    <x:row r="158">
      <x:c r="A158" t="str"/>
    </x:row>
    <x:row r="159">
      <x:c r="A159" t="str"/>
    </x:row>
    <x:row r="160">
      <x:c r="A160" t="str"/>
    </x:row>
    <x:row r="161">
      <x:c r="A161" t="str"/>
    </x:row>
    <x:row r="162">
      <x:c r="A162" t="str"/>
    </x:row>
    <x:row r="163">
      <x:c r="A163" t="str"/>
    </x:row>
    <x:row r="164">
      <x:c r="A164" t="str"/>
    </x:row>
    <x:row r="165">
      <x:c r="A165" t="str"/>
    </x:row>
    <x:row r="166">
      <x:c r="A166" t="str"/>
    </x:row>
    <x:row r="167">
      <x:c r="A167" t="str"/>
    </x:row>
    <x:row r="168">
      <x:c r="A168" t="str"/>
    </x:row>
    <x:row r="169">
      <x:c r="A169" t="str"/>
    </x:row>
    <x:row r="170">
      <x:c r="A170" t="str"/>
    </x:row>
    <x:row r="171">
      <x:c r="A171" t="str"/>
    </x:row>
    <x:row r="172">
      <x:c r="A172" t="str"/>
    </x:row>
    <x:row r="173">
      <x:c r="A173" t="str"/>
    </x:row>
    <x:row r="174">
      <x:c r="A174" t="str"/>
    </x:row>
    <x:row r="175">
      <x:c r="A175" t="str"/>
    </x:row>
    <x:row r="176">
      <x:c r="A176" t="str"/>
    </x:row>
    <x:row r="177">
      <x:c r="A177" t="str"/>
    </x:row>
    <x:row r="178">
      <x:c r="A178" t="str"/>
    </x:row>
    <x:row r="179">
      <x:c r="A179" t="str"/>
    </x:row>
    <x:row r="180">
      <x:c r="A180" t="str"/>
    </x:row>
    <x:row r="181">
      <x:c r="A181" t="str"/>
    </x:row>
    <x:row r="182">
      <x:c r="A182" t="str"/>
    </x:row>
    <x:row r="183">
      <x:c r="A183" t="str"/>
    </x:row>
    <x:row r="184">
      <x:c r="A184" t="str"/>
    </x:row>
    <x:row r="185">
      <x:c r="A185" t="str"/>
    </x:row>
    <x:row r="186">
      <x:c r="A186" t="str"/>
    </x:row>
    <x:row r="187">
      <x:c r="A187" t="str"/>
    </x:row>
    <x:row r="188">
      <x:c r="A188" t="str"/>
    </x:row>
    <x:row r="189">
      <x:c r="A189" t="str"/>
    </x:row>
    <x:row r="190">
      <x:c r="A190" t="str"/>
    </x:row>
    <x:row r="191">
      <x:c r="A191" t="str"/>
    </x:row>
    <x:row r="192">
      <x:c r="A192" t="str"/>
    </x:row>
    <x:row r="193">
      <x:c r="A193" t="str"/>
    </x:row>
    <x:row r="194">
      <x:c r="A194" t="str"/>
    </x:row>
    <x:row r="195">
      <x:c r="A195" t="str"/>
    </x:row>
    <x:row r="196">
      <x:c r="A196" t="str"/>
    </x:row>
    <x:row r="197">
      <x:c r="A197" t="str"/>
    </x:row>
    <x:row r="198">
      <x:c r="A198" t="str"/>
    </x:row>
    <x:row r="199">
      <x:c r="A199" t="str"/>
    </x:row>
    <x:row r="200">
      <x:c r="A200" t="str"/>
    </x:row>
    <x:row r="201">
      <x:c r="A201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>
      <x:c r="A1" s="18" t="str">
        <x:v>GUIA DE UTILIZAÇÃO</x:v>
      </x:c>
      <x:c r="B1" s="18" t="str"/>
    </x:row>
    <x:row r="2">
      <x:c r="A2" s="62" t="str">
        <x:v>1. Registar nova compra de pack</x:v>
      </x:c>
      <x:c r="B2" s="64" t="str">
        <x:v>Na folha Base_Lancamentos, escolha o Cliente, Data, Tipo = Compra e preencha Horas Pack. A coluna Saldo Automático atualiza automaticamente.</x:v>
      </x:c>
    </x:row>
    <x:row r="3">
      <x:c r="A3" s="62" t="str">
        <x:v>2. Registar intervenção</x:v>
      </x:c>
      <x:c r="B3" s="64" t="str">
        <x:v>Na folha Base_Lancamentos, escolha o Cliente, Data, Tipo = Intervenção, descreva o trabalho e preencha Horas Usadas.</x:v>
      </x:c>
    </x:row>
    <x:row r="4">
      <x:c r="A4" s="62" t="str">
        <x:v>3. Alertas automáticos</x:v>
      </x:c>
      <x:c r="B4" s="64" t="str">
        <x:v>Estado OK, SALDO BAIXO, SALDO CRÍTICO ou ESGOTADO é calculado pelo saldo. Os limites estão na folha Config.</x:v>
      </x:c>
    </x:row>
    <x:row r="5">
      <x:c r="A5" s="62" t="str">
        <x:v>4. Adicionar novo cliente</x:v>
      </x:c>
      <x:c r="B5" s="64" t="str">
        <x:v>Escreva o cliente numa linha vazia da lista Clientes na folha Config e depois use-o na Base_Lancamentos.</x:v>
      </x:c>
    </x:row>
    <x:row r="6">
      <x:c r="A6" s="62" t="str">
        <x:v>5. Ficheiro antigo</x:v>
      </x:c>
      <x:c r="B6" s="64" t="str">
        <x:v>Os dados foram consolidados a partir das folhas antigas do ficheiro original. A gestão futura deve passar a ser feita na Base_Lancamentos.</x:v>
      </x:c>
    </x:row>
    <x:row r="7">
      <x:c r="A7" s="62" t="str">
        <x:v>6. Enviar relatório ao cliente</x:v>
      </x:c>
      <x:c r="B7" s="64" t="str">
        <x:v>Filtre a Base_Lancamentos pelo cliente pretendido para ver apenas os movimentos desse cliente.</x:v>
      </x:c>
    </x:row>
  </x:sheetData>
  <x:mergeCells>
    <x:mergeCell ref="A1:B1"/>
  </x:mergeCells>
  <x:pageMargins left="0.7" right="0.7" top="0.75" bottom="0.75" header="0.3" footer="0.3"/>
</x:worksheet>
</file>